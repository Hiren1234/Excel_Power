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9cc417ca66263cee/Desktop/Employee/"/>
    </mc:Choice>
  </mc:AlternateContent>
  <xr:revisionPtr revIDLastSave="1212" documentId="13_ncr:1_{E8DDD400-3262-441C-BFC7-4EFBF88D7B2E}" xr6:coauthVersionLast="47" xr6:coauthVersionMax="47" xr10:uidLastSave="{F5CB4B44-20D2-4CE1-BFE7-82D470BF8A59}"/>
  <bookViews>
    <workbookView xWindow="-108" yWindow="-108" windowWidth="23256" windowHeight="12456" activeTab="1" xr2:uid="{ED91BA1B-287A-497F-A67D-A2313DC284FD}"/>
  </bookViews>
  <sheets>
    <sheet name="Pivot Report" sheetId="1" r:id="rId1"/>
    <sheet name="Dashboard" sheetId="5" r:id="rId2"/>
    <sheet name="Average Daily Wait Time " sheetId="8" r:id="rId3"/>
    <sheet name="Daily_ER_Number_Patients" sheetId="7" r:id="rId4"/>
    <sheet name="Average Patient Satisfaction" sheetId="9" r:id="rId5"/>
  </sheets>
  <definedNames>
    <definedName name="Slicer_Date__Month">#N/A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es_Table_7a241560-98a3-4126-ba22-a1a897c77b35" name="Dates_Table" connection="Query - Dates_Table"/>
          <x15:modelTable id="Hospital Emergency Room Data  2_2a205b54-8595-4f21-96f8-6f98b1faaca2" name="Hospital Emergency Room Data  2" connection="Query - Hospital Emergency Room Data (2)"/>
        </x15:modelTables>
        <x15:modelRelationships>
          <x15:modelRelationship fromTable="Hospital Emergency Room Data  2" fromColumn="Patient Admission Date" toTable="Dates_Table" toColumn="Date"/>
        </x15:modelRelationships>
        <x15:extLst>
          <ext xmlns:x16="http://schemas.microsoft.com/office/spreadsheetml/2014/11/main" uri="{9835A34E-60A6-4A7C-AAB8-D5F71C897F49}">
            <x16:modelTimeGroupings>
              <x16:modelTimeGrouping tableName="Dates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5" i="1" l="1"/>
  <c r="D45" i="1"/>
  <c r="B45" i="1"/>
  <c r="C44" i="1"/>
  <c r="D44" i="1"/>
  <c r="B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89CAC9-A540-402C-A2DE-7DA6447969B4}" name="Query - Dates_Table" description="Connection to the 'Dates_Table' query in the workbook." type="100" refreshedVersion="8" minRefreshableVersion="5">
    <extLst>
      <ext xmlns:x15="http://schemas.microsoft.com/office/spreadsheetml/2010/11/main" uri="{DE250136-89BD-433C-8126-D09CA5730AF9}">
        <x15:connection id="31fbffe2-a092-42c9-8183-6f3e5e6a1769"/>
      </ext>
    </extLst>
  </connection>
  <connection id="2" xr16:uid="{50FC5624-46C8-43D1-90C9-4C2EFDC0AE49}" name="Query - Hospital Emergency Room Data (2)" description="Connection to the 'Hospital Emergency Room Data (2)' query in the workbook." type="100" refreshedVersion="8" minRefreshableVersion="5" background="1" saveData="1">
    <extLst>
      <ext xmlns:x15="http://schemas.microsoft.com/office/spreadsheetml/2010/11/main" uri="{DE250136-89BD-433C-8126-D09CA5730AF9}">
        <x15:connection id="4ba5cddc-b673-42d9-9501-d953e6a2cbfa"/>
      </ext>
    </extLst>
  </connection>
  <connection id="3" xr16:uid="{65A17610-D06C-4AF6-9C33-6CA80158D941}"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<sst xmlns="http://schemas.openxmlformats.org/spreadsheetml/2006/main" count="142" uniqueCount="65">
  <si>
    <t>No. of Patients</t>
  </si>
  <si>
    <t>Average of Patient Waittime</t>
  </si>
  <si>
    <t>Distinct Count of Patient Id</t>
  </si>
  <si>
    <t>Average of Patient Satisfaction Score</t>
  </si>
  <si>
    <t>Row Labels</t>
  </si>
  <si>
    <t>Grand Total</t>
  </si>
  <si>
    <t>Showing a daily trend with area sparkline to sport patterns like busy days or seasonal trends.</t>
  </si>
  <si>
    <t>Daily trends of no of patients</t>
  </si>
  <si>
    <t>Agerage Wait time daily</t>
  </si>
  <si>
    <t>Use an area sparkline to track daily changes and highlight days with longer wait times that might need improvements.</t>
  </si>
  <si>
    <t>Used an area chart to show daily patients satisfaction trend and linked them to busy times or challenges.</t>
  </si>
  <si>
    <t>Count of Patient Admission Flag</t>
  </si>
  <si>
    <t>Admitted</t>
  </si>
  <si>
    <t>Not Admitted</t>
  </si>
  <si>
    <t>Count of Patient Admission Flag2</t>
  </si>
  <si>
    <t>Admission Status</t>
  </si>
  <si>
    <t>% Status</t>
  </si>
  <si>
    <t xml:space="preserve"> Patients</t>
  </si>
  <si>
    <t>0-09</t>
  </si>
  <si>
    <t>10-19</t>
  </si>
  <si>
    <t>20-29</t>
  </si>
  <si>
    <t>30-39</t>
  </si>
  <si>
    <t>40-49</t>
  </si>
  <si>
    <t>50-59</t>
  </si>
  <si>
    <t>60-69</t>
  </si>
  <si>
    <t>70-79</t>
  </si>
  <si>
    <t>Count of Patient Age Status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</si>
  <si>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</si>
  <si>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</si>
  <si>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</si>
  <si>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</si>
  <si>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</si>
  <si>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</si>
  <si>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</si>
  <si>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</si>
  <si>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</si>
  <si>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</si>
  <si>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</si>
  <si>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</si>
  <si>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</si>
  <si>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</si>
  <si>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</si>
  <si>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</si>
  <si>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</si>
  <si>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</si>
  <si>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</si>
  <si>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</si>
  <si>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</si>
  <si>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</si>
  <si>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</si>
  <si>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</si>
  <si>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</si>
  <si>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</si>
  <si>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</si>
  <si>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</si>
  <si>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</si>
  <si>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</si>
  <si>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</si>
  <si>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Age Group Wise Analysis</t>
  </si>
  <si>
    <t>Delay</t>
  </si>
  <si>
    <t>Ontime</t>
  </si>
  <si>
    <t>Count of Patient Waittime Status</t>
  </si>
  <si>
    <t>Female</t>
  </si>
  <si>
    <t>Male</t>
  </si>
  <si>
    <t>Count of Patient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</si>
</sst>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2"/>
      <color theme="0"/>
      <name val="Calibri"/>
      <family val="2"/>
      <scheme val="minor"/>
    </font>
  </fonts>
  <fills count="7">
    <fill>
      <patternFill patternType="none"/>
    </fill>
    <fill>
      <patternFill patternType="gray125"/>
    </fill>
    <fill>
      <patternFill patternType="solid">
        <fgColor theme="0" tint="-0.499984740745262"/>
        <bgColor indexed="64"/>
      </patternFill>
    </fill>
    <fill>
      <patternFill patternType="solid">
        <fgColor theme="2"/>
        <bgColor indexed="64"/>
      </patternFill>
    </fill>
    <fill>
      <patternFill patternType="solid">
        <fgColor theme="2" tint="-0.499984740745262"/>
        <bgColor indexed="64"/>
      </patternFill>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2" borderId="0" xfId="0" applyFill="1"/>
    <xf numFmtId="2"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2" fillId="4" borderId="0" xfId="0" applyFont="1" applyFill="1"/>
    <xf numFmtId="0" fontId="0" fillId="5" borderId="0" xfId="0" applyFill="1"/>
    <xf numFmtId="10" fontId="0" fillId="0" borderId="0" xfId="0" applyNumberFormat="1"/>
    <xf numFmtId="0" fontId="0" fillId="6" borderId="0" xfId="0" applyFill="1"/>
    <xf numFmtId="9" fontId="0" fillId="6" borderId="0" xfId="1" applyFont="1" applyFill="1"/>
    <xf numFmtId="0" fontId="0" fillId="5" borderId="0" xfId="0" applyFill="1" applyAlignment="1">
      <alignment horizontal="center"/>
    </xf>
    <xf numFmtId="1" fontId="0" fillId="0" borderId="0" xfId="0" applyNumberFormat="1"/>
  </cellXfs>
  <cellStyles count="2">
    <cellStyle name="Normal" xfId="0" builtinId="0"/>
    <cellStyle name="Percent" xfId="1" builtinId="5"/>
  </cellStyles>
  <dxfs count="15">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font>
        <b/>
        <color theme="1"/>
      </font>
      <border>
        <bottom style="thin">
          <color theme="4"/>
        </bottom>
        <vertical/>
        <horizontal/>
      </border>
    </dxf>
    <dxf>
      <font>
        <b/>
        <i val="0"/>
        <sz val="7"/>
        <color theme="1"/>
      </font>
      <fill>
        <patternFill>
          <bgColor theme="0" tint="-0.499984740745262"/>
        </patternFill>
      </fill>
      <border diagonalUp="0" diagonalDown="0">
        <left/>
        <right/>
        <top/>
        <bottom/>
        <vertical/>
        <horizontal/>
      </border>
    </dxf>
  </dxfs>
  <tableStyles count="2" defaultTableStyle="TableStyleMedium2" defaultPivotStyle="PivotStyleLight16">
    <tableStyle name="Invisible" pivot="0" table="0" count="0" xr9:uid="{218B0FDB-E29C-4451-9E43-E386205AB122}"/>
    <tableStyle name="MyStyle" pivot="0" table="0" count="10" xr9:uid="{3C9AC6C1-9DD2-441F-BA7C-BB9C4D1D83D0}">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2.xml"/><Relationship Id="rId21" Type="http://schemas.openxmlformats.org/officeDocument/2006/relationships/sharedStrings" Target="sharedStrings.xml"/><Relationship Id="rId42" Type="http://schemas.openxmlformats.org/officeDocument/2006/relationships/customXml" Target="../customXml/item18.xml"/><Relationship Id="rId47" Type="http://schemas.openxmlformats.org/officeDocument/2006/relationships/customXml" Target="../customXml/item23.xml"/><Relationship Id="rId63" Type="http://schemas.openxmlformats.org/officeDocument/2006/relationships/customXml" Target="../customXml/item39.xml"/><Relationship Id="rId68" Type="http://schemas.openxmlformats.org/officeDocument/2006/relationships/customXml" Target="../customXml/item44.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66" Type="http://schemas.openxmlformats.org/officeDocument/2006/relationships/customXml" Target="../customXml/item42.xml"/><Relationship Id="rId5" Type="http://schemas.openxmlformats.org/officeDocument/2006/relationships/worksheet" Target="worksheets/sheet5.xml"/><Relationship Id="rId61" Type="http://schemas.openxmlformats.org/officeDocument/2006/relationships/customXml" Target="../customXml/item37.xml"/><Relationship Id="rId19" Type="http://schemas.openxmlformats.org/officeDocument/2006/relationships/connections" Target="connections.xml"/><Relationship Id="rId14" Type="http://schemas.openxmlformats.org/officeDocument/2006/relationships/pivotCacheDefinition" Target="pivotCache/pivotCacheDefinition9.xml"/><Relationship Id="rId22" Type="http://schemas.openxmlformats.org/officeDocument/2006/relationships/powerPivotData" Target="model/item.data"/><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64" Type="http://schemas.openxmlformats.org/officeDocument/2006/relationships/customXml" Target="../customXml/item40.xml"/><Relationship Id="rId69" Type="http://schemas.openxmlformats.org/officeDocument/2006/relationships/customXml" Target="../customXml/item45.xml"/><Relationship Id="rId8" Type="http://schemas.openxmlformats.org/officeDocument/2006/relationships/pivotCacheDefinition" Target="pivotCache/pivotCacheDefinition3.xml"/><Relationship Id="rId51" Type="http://schemas.openxmlformats.org/officeDocument/2006/relationships/customXml" Target="../customXml/item27.xml"/><Relationship Id="rId72" Type="http://schemas.openxmlformats.org/officeDocument/2006/relationships/customXml" Target="../customXml/item48.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67" Type="http://schemas.openxmlformats.org/officeDocument/2006/relationships/customXml" Target="../customXml/item43.xml"/><Relationship Id="rId20" Type="http://schemas.openxmlformats.org/officeDocument/2006/relationships/styles" Target="styles.xml"/><Relationship Id="rId41" Type="http://schemas.openxmlformats.org/officeDocument/2006/relationships/customXml" Target="../customXml/item17.xml"/><Relationship Id="rId54" Type="http://schemas.openxmlformats.org/officeDocument/2006/relationships/customXml" Target="../customXml/item30.xml"/><Relationship Id="rId62" Type="http://schemas.openxmlformats.org/officeDocument/2006/relationships/customXml" Target="../customXml/item38.xml"/><Relationship Id="rId70"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17/10/relationships/person" Target="persons/person.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5.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60" Type="http://schemas.openxmlformats.org/officeDocument/2006/relationships/customXml" Target="../customXml/item36.xml"/><Relationship Id="rId65" Type="http://schemas.openxmlformats.org/officeDocument/2006/relationships/customXml" Target="../customXml/item41.xml"/><Relationship Id="rId73" Type="http://schemas.openxmlformats.org/officeDocument/2006/relationships/customXml" Target="../customXml/item4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theme" Target="theme/theme1.xml"/><Relationship Id="rId39" Type="http://schemas.openxmlformats.org/officeDocument/2006/relationships/customXml" Target="../customXml/item15.xml"/><Relationship Id="rId34" Type="http://schemas.openxmlformats.org/officeDocument/2006/relationships/customXml" Target="../customXml/item10.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2.xml"/><Relationship Id="rId71" Type="http://schemas.openxmlformats.org/officeDocument/2006/relationships/customXml" Target="../customXml/item47.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A9513B5-E25D-4B1B-B490-A9265E35312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4D3163-756C-48B3-80C1-C8CBD1A6885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0.23212934139046573"/>
          <c:y val="8.8996763754045305E-2"/>
          <c:w val="0.7058551547335653"/>
          <c:h val="0.82200647249190939"/>
        </c:manualLayout>
      </c:layout>
      <c:barChart>
        <c:barDir val="bar"/>
        <c:grouping val="clustered"/>
        <c:varyColors val="0"/>
        <c:ser>
          <c:idx val="0"/>
          <c:order val="0"/>
          <c:tx>
            <c:strRef>
              <c:f>'Pivot Report'!$C$25:$C$26</c:f>
              <c:strCache>
                <c:ptCount val="1"/>
                <c:pt idx="0">
                  <c:v>Count of Patient Admission Flag</c:v>
                </c:pt>
              </c:strCache>
            </c:strRef>
          </c:tx>
          <c:spPr>
            <a:solidFill>
              <a:schemeClr val="accent1"/>
            </a:solidFill>
            <a:ln>
              <a:noFill/>
            </a:ln>
            <a:effectLst/>
          </c:spPr>
          <c:invertIfNegative val="0"/>
          <c:dLbls>
            <c:dLbl>
              <c:idx val="0"/>
              <c:tx>
                <c:rich>
                  <a:bodyPr/>
                  <a:lstStyle/>
                  <a:p>
                    <a:fld id="{4A9513B5-E25D-4B1B-B490-A9265E3531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29C-4015-95E0-3D3E7B350CEE}"/>
                </c:ext>
              </c:extLst>
            </c:dLbl>
            <c:dLbl>
              <c:idx val="1"/>
              <c:tx>
                <c:rich>
                  <a:bodyPr/>
                  <a:lstStyle/>
                  <a:p>
                    <a:fld id="{2C4D3163-756C-48B3-80C1-C8CBD1A688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29C-4015-95E0-3D3E7B350CEE}"/>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Report'!$C$25:$C$26</c:f>
              <c:strCache>
                <c:ptCount val="2"/>
                <c:pt idx="0">
                  <c:v>Admitted</c:v>
                </c:pt>
                <c:pt idx="1">
                  <c:v>Not Admitted</c:v>
                </c:pt>
              </c:strCache>
            </c:strRef>
          </c:cat>
          <c:val>
            <c:numRef>
              <c:f>'Pivot Report'!$C$25:$C$26</c:f>
              <c:numCache>
                <c:formatCode>0.00</c:formatCode>
                <c:ptCount val="2"/>
                <c:pt idx="0">
                  <c:v>269</c:v>
                </c:pt>
                <c:pt idx="1">
                  <c:v>244</c:v>
                </c:pt>
              </c:numCache>
            </c:numRef>
          </c:val>
          <c:extLst>
            <c:ext xmlns:c15="http://schemas.microsoft.com/office/drawing/2012/chart" uri="{02D57815-91ED-43cb-92C2-25804820EDAC}">
              <c15:datalabelsRange>
                <c15:f>'Pivot Report'!$C$25:$C$26</c15:f>
                <c15:dlblRangeCache>
                  <c:ptCount val="2"/>
                  <c:pt idx="0">
                    <c:v>52.44%</c:v>
                  </c:pt>
                  <c:pt idx="1">
                    <c:v>47.56%</c:v>
                  </c:pt>
                </c15:dlblRangeCache>
              </c15:datalabelsRange>
            </c:ext>
            <c:ext xmlns:c16="http://schemas.microsoft.com/office/drawing/2014/chart" uri="{C3380CC4-5D6E-409C-BE32-E72D297353CC}">
              <c16:uniqueId val="{00000000-629C-4015-95E0-3D3E7B350CEE}"/>
            </c:ext>
          </c:extLst>
        </c:ser>
        <c:ser>
          <c:idx val="1"/>
          <c:order val="1"/>
          <c:tx>
            <c:strRef>
              <c:f>'Pivot Report'!$C$25:$C$26</c:f>
              <c:strCache>
                <c:ptCount val="1"/>
                <c:pt idx="0">
                  <c:v>Count of Patient Admission Flag2</c:v>
                </c:pt>
              </c:strCache>
            </c:strRef>
          </c:tx>
          <c:spPr>
            <a:solidFill>
              <a:schemeClr val="accent2"/>
            </a:solidFill>
            <a:ln>
              <a:noFill/>
            </a:ln>
            <a:effectLst/>
          </c:spPr>
          <c:invertIfNegative val="0"/>
          <c:cat>
            <c:strRef>
              <c:f>'Pivot Report'!$C$25:$C$26</c:f>
              <c:strCache>
                <c:ptCount val="2"/>
                <c:pt idx="0">
                  <c:v>Admitted</c:v>
                </c:pt>
                <c:pt idx="1">
                  <c:v>Not Admitted</c:v>
                </c:pt>
              </c:strCache>
            </c:strRef>
          </c:cat>
          <c:val>
            <c:numRef>
              <c:f>'Pivot Report'!$C$25:$C$26</c:f>
              <c:numCache>
                <c:formatCode>0.00%</c:formatCode>
                <c:ptCount val="2"/>
                <c:pt idx="0">
                  <c:v>0.52436647173489281</c:v>
                </c:pt>
                <c:pt idx="1">
                  <c:v>0.47563352826510719</c:v>
                </c:pt>
              </c:numCache>
            </c:numRef>
          </c:val>
          <c:extLst>
            <c:ext xmlns:c16="http://schemas.microsoft.com/office/drawing/2014/chart" uri="{C3380CC4-5D6E-409C-BE32-E72D297353CC}">
              <c16:uniqueId val="{00000001-629C-4015-95E0-3D3E7B350CEE}"/>
            </c:ext>
          </c:extLst>
        </c:ser>
        <c:dLbls>
          <c:showLegendKey val="0"/>
          <c:showVal val="0"/>
          <c:showCatName val="0"/>
          <c:showSerName val="0"/>
          <c:showPercent val="0"/>
          <c:showBubbleSize val="0"/>
        </c:dLbls>
        <c:gapWidth val="92"/>
        <c:axId val="316298959"/>
        <c:axId val="316296559"/>
      </c:barChart>
      <c:catAx>
        <c:axId val="316298959"/>
        <c:scaling>
          <c:orientation val="minMax"/>
        </c:scaling>
        <c:delete val="1"/>
        <c:axPos val="l"/>
        <c:numFmt formatCode="General" sourceLinked="1"/>
        <c:majorTickMark val="none"/>
        <c:minorTickMark val="none"/>
        <c:tickLblPos val="nextTo"/>
        <c:crossAx val="316296559"/>
        <c:crosses val="autoZero"/>
        <c:auto val="1"/>
        <c:lblAlgn val="ctr"/>
        <c:lblOffset val="100"/>
        <c:noMultiLvlLbl val="0"/>
      </c:catAx>
      <c:valAx>
        <c:axId val="316296559"/>
        <c:scaling>
          <c:orientation val="minMax"/>
        </c:scaling>
        <c:delete val="1"/>
        <c:axPos val="b"/>
        <c:numFmt formatCode="0.00" sourceLinked="1"/>
        <c:majorTickMark val="none"/>
        <c:minorTickMark val="none"/>
        <c:tickLblPos val="nextTo"/>
        <c:crossAx val="31629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516546207568616E-2"/>
          <c:y val="0.51141969301395329"/>
          <c:w val="0.73410599723891501"/>
          <c:h val="0.45448566078511649"/>
        </c:manualLayout>
      </c:layout>
      <c:areaChart>
        <c:grouping val="standard"/>
        <c:varyColors val="0"/>
        <c:ser>
          <c:idx val="0"/>
          <c:order val="0"/>
          <c:tx>
            <c:strRef>
              <c:f>'Pivot Report'!$E$8</c:f>
              <c:strCache>
                <c:ptCount val="1"/>
                <c:pt idx="0">
                  <c:v>Total</c:v>
                </c:pt>
              </c:strCache>
            </c:strRef>
          </c:tx>
          <c:spPr>
            <a:solidFill>
              <a:schemeClr val="accent1"/>
            </a:solidFill>
            <a:ln>
              <a:noFill/>
            </a:ln>
            <a:effectLst/>
          </c:spPr>
          <c:cat>
            <c:strRef>
              <c:f>'Pivot Report'!$D$9:$D$40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Report'!$E$9:$E$40</c:f>
              <c:numCache>
                <c:formatCode>0.00</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1C13-4BCF-A016-52A7E19266AB}"/>
            </c:ext>
          </c:extLst>
        </c:ser>
        <c:dLbls>
          <c:showLegendKey val="0"/>
          <c:showVal val="0"/>
          <c:showCatName val="0"/>
          <c:showSerName val="0"/>
          <c:showPercent val="0"/>
          <c:showBubbleSize val="0"/>
        </c:dLbls>
        <c:axId val="140876927"/>
        <c:axId val="140867807"/>
      </c:areaChart>
      <c:catAx>
        <c:axId val="140876927"/>
        <c:scaling>
          <c:orientation val="minMax"/>
        </c:scaling>
        <c:delete val="1"/>
        <c:axPos val="b"/>
        <c:numFmt formatCode="General" sourceLinked="1"/>
        <c:majorTickMark val="out"/>
        <c:minorTickMark val="none"/>
        <c:tickLblPos val="nextTo"/>
        <c:crossAx val="140867807"/>
        <c:crosses val="autoZero"/>
        <c:auto val="1"/>
        <c:lblAlgn val="ctr"/>
        <c:lblOffset val="100"/>
        <c:noMultiLvlLbl val="0"/>
      </c:catAx>
      <c:valAx>
        <c:axId val="140867807"/>
        <c:scaling>
          <c:orientation val="minMax"/>
        </c:scaling>
        <c:delete val="1"/>
        <c:axPos val="l"/>
        <c:numFmt formatCode="0.00" sourceLinked="1"/>
        <c:majorTickMark val="out"/>
        <c:minorTickMark val="none"/>
        <c:tickLblPos val="nextTo"/>
        <c:crossAx val="1408769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973549929715869E-2"/>
          <c:y val="0"/>
          <c:w val="0.83005290014056832"/>
          <c:h val="0.53449315734931002"/>
        </c:manualLayout>
      </c:layout>
      <c:areaChart>
        <c:grouping val="standard"/>
        <c:varyColors val="0"/>
        <c:ser>
          <c:idx val="0"/>
          <c:order val="0"/>
          <c:tx>
            <c:strRef>
              <c:f>'Pivot Report'!$H$8</c:f>
              <c:strCache>
                <c:ptCount val="1"/>
                <c:pt idx="0">
                  <c:v>Total</c:v>
                </c:pt>
              </c:strCache>
            </c:strRef>
          </c:tx>
          <c:spPr>
            <a:solidFill>
              <a:schemeClr val="accent1"/>
            </a:solidFill>
            <a:ln>
              <a:noFill/>
            </a:ln>
            <a:effectLst/>
          </c:spPr>
          <c:cat>
            <c:strRef>
              <c:f>'Pivot Report'!$G$9:$G$40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Report'!$H$9:$H$40</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879F-433E-A1BB-05017CE49A99}"/>
            </c:ext>
          </c:extLst>
        </c:ser>
        <c:dLbls>
          <c:showLegendKey val="0"/>
          <c:showVal val="0"/>
          <c:showCatName val="0"/>
          <c:showSerName val="0"/>
          <c:showPercent val="0"/>
          <c:showBubbleSize val="0"/>
        </c:dLbls>
        <c:axId val="1720185472"/>
        <c:axId val="1720179232"/>
      </c:areaChart>
      <c:catAx>
        <c:axId val="1720185472"/>
        <c:scaling>
          <c:orientation val="minMax"/>
        </c:scaling>
        <c:delete val="1"/>
        <c:axPos val="b"/>
        <c:numFmt formatCode="General" sourceLinked="1"/>
        <c:majorTickMark val="out"/>
        <c:minorTickMark val="none"/>
        <c:tickLblPos val="nextTo"/>
        <c:crossAx val="1720179232"/>
        <c:crosses val="autoZero"/>
        <c:auto val="1"/>
        <c:lblAlgn val="ctr"/>
        <c:lblOffset val="100"/>
        <c:noMultiLvlLbl val="0"/>
      </c:catAx>
      <c:valAx>
        <c:axId val="1720179232"/>
        <c:scaling>
          <c:orientation val="minMax"/>
        </c:scaling>
        <c:delete val="1"/>
        <c:axPos val="l"/>
        <c:numFmt formatCode="0.00" sourceLinked="1"/>
        <c:majorTickMark val="none"/>
        <c:minorTickMark val="none"/>
        <c:tickLblPos val="nextTo"/>
        <c:crossAx val="1720185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Report!PivotTable7</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24958342961217"/>
          <c:y val="0.11726915232639606"/>
          <c:w val="0.79950083314077569"/>
          <c:h val="0.72148516037135313"/>
        </c:manualLayout>
      </c:layout>
      <c:areaChart>
        <c:grouping val="standard"/>
        <c:varyColors val="0"/>
        <c:ser>
          <c:idx val="0"/>
          <c:order val="0"/>
          <c:tx>
            <c:strRef>
              <c:f>'Pivot Report'!$L$8</c:f>
              <c:strCache>
                <c:ptCount val="1"/>
                <c:pt idx="0">
                  <c:v>Total</c:v>
                </c:pt>
              </c:strCache>
            </c:strRef>
          </c:tx>
          <c:spPr>
            <a:solidFill>
              <a:schemeClr val="accent1"/>
            </a:solidFill>
            <a:ln>
              <a:noFill/>
            </a:ln>
            <a:effectLst/>
          </c:spPr>
          <c:cat>
            <c:strRef>
              <c:f>'Pivot Report'!$K$9:$K$40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Report'!$L$9:$L$40</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D4D4-4D39-A3A1-F5B095A3DD66}"/>
            </c:ext>
          </c:extLst>
        </c:ser>
        <c:dLbls>
          <c:showLegendKey val="0"/>
          <c:showVal val="0"/>
          <c:showCatName val="0"/>
          <c:showSerName val="0"/>
          <c:showPercent val="0"/>
          <c:showBubbleSize val="0"/>
        </c:dLbls>
        <c:axId val="343867951"/>
        <c:axId val="343853071"/>
      </c:areaChart>
      <c:catAx>
        <c:axId val="343867951"/>
        <c:scaling>
          <c:orientation val="minMax"/>
        </c:scaling>
        <c:delete val="1"/>
        <c:axPos val="b"/>
        <c:numFmt formatCode="General" sourceLinked="1"/>
        <c:majorTickMark val="out"/>
        <c:minorTickMark val="none"/>
        <c:tickLblPos val="nextTo"/>
        <c:crossAx val="343853071"/>
        <c:crosses val="autoZero"/>
        <c:auto val="1"/>
        <c:lblAlgn val="ctr"/>
        <c:lblOffset val="100"/>
        <c:noMultiLvlLbl val="0"/>
      </c:catAx>
      <c:valAx>
        <c:axId val="343853071"/>
        <c:scaling>
          <c:orientation val="minMax"/>
        </c:scaling>
        <c:delete val="1"/>
        <c:axPos val="l"/>
        <c:numFmt formatCode="0.00" sourceLinked="1"/>
        <c:majorTickMark val="none"/>
        <c:minorTickMark val="none"/>
        <c:tickLblPos val="nextTo"/>
        <c:crossAx val="34386795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Report'!$A$50:$A$58</c:f>
              <c:strCache>
                <c:ptCount val="8"/>
                <c:pt idx="0">
                  <c:v>0-09</c:v>
                </c:pt>
                <c:pt idx="1">
                  <c:v>10-19</c:v>
                </c:pt>
                <c:pt idx="2">
                  <c:v>20-29</c:v>
                </c:pt>
                <c:pt idx="3">
                  <c:v>30-39</c:v>
                </c:pt>
                <c:pt idx="4">
                  <c:v>40-49</c:v>
                </c:pt>
                <c:pt idx="5">
                  <c:v>50-59</c:v>
                </c:pt>
                <c:pt idx="6">
                  <c:v>60-69</c:v>
                </c:pt>
                <c:pt idx="7">
                  <c:v>70-79</c:v>
                </c:pt>
              </c:strCache>
            </c:strRef>
          </c:cat>
          <c:val>
            <c:numRef>
              <c:f>'Pivot Report'!$B$50:$B$58</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7546-4BDD-89C0-E811C97ABB3B}"/>
            </c:ext>
          </c:extLst>
        </c:ser>
        <c:dLbls>
          <c:dLblPos val="outEnd"/>
          <c:showLegendKey val="0"/>
          <c:showVal val="1"/>
          <c:showCatName val="0"/>
          <c:showSerName val="0"/>
          <c:showPercent val="0"/>
          <c:showBubbleSize val="0"/>
        </c:dLbls>
        <c:gapWidth val="219"/>
        <c:overlap val="-27"/>
        <c:axId val="1762502304"/>
        <c:axId val="1762507584"/>
      </c:barChart>
      <c:catAx>
        <c:axId val="176250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62507584"/>
        <c:crosses val="autoZero"/>
        <c:auto val="1"/>
        <c:lblAlgn val="ctr"/>
        <c:lblOffset val="100"/>
        <c:noMultiLvlLbl val="0"/>
      </c:catAx>
      <c:valAx>
        <c:axId val="1762507584"/>
        <c:scaling>
          <c:orientation val="minMax"/>
        </c:scaling>
        <c:delete val="1"/>
        <c:axPos val="l"/>
        <c:numFmt formatCode="0" sourceLinked="1"/>
        <c:majorTickMark val="none"/>
        <c:minorTickMark val="none"/>
        <c:tickLblPos val="nextTo"/>
        <c:crossAx val="1762502304"/>
        <c:crosses val="autoZero"/>
        <c:crossBetween val="between"/>
      </c:valAx>
      <c:spPr>
        <a:solidFill>
          <a:srgbClr val="FFFF0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Report!PivotTable9</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Report'!$B$63</c:f>
              <c:strCache>
                <c:ptCount val="1"/>
                <c:pt idx="0">
                  <c:v>Total</c:v>
                </c:pt>
              </c:strCache>
            </c:strRef>
          </c:tx>
          <c:dPt>
            <c:idx val="0"/>
            <c:bubble3D val="0"/>
            <c:explosion val="3"/>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C9-4765-989F-C9F56F70034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C9-4765-989F-C9F56F70034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0</c:formatCode>
                <c:ptCount val="2"/>
                <c:pt idx="0">
                  <c:v>316</c:v>
                </c:pt>
                <c:pt idx="1">
                  <c:v>197</c:v>
                </c:pt>
              </c:numCache>
            </c:numRef>
          </c:val>
          <c:extLst>
            <c:ext xmlns:c16="http://schemas.microsoft.com/office/drawing/2014/chart" uri="{C3380CC4-5D6E-409C-BE32-E72D297353CC}">
              <c16:uniqueId val="{00000004-31C9-4765-989F-C9F56F700343}"/>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46473209965878043"/>
          <c:y val="4.7847546579441423E-3"/>
          <c:w val="0.53526790034121952"/>
          <c:h val="0.1592074989483040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Report!PivotTable10</c:name>
    <c:fmtId val="2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Report'!$B$70</c:f>
              <c:strCache>
                <c:ptCount val="1"/>
                <c:pt idx="0">
                  <c:v>Total</c:v>
                </c:pt>
              </c:strCache>
            </c:strRef>
          </c:tx>
          <c:dPt>
            <c:idx val="0"/>
            <c:bubble3D val="0"/>
            <c:explosion val="2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C88-4D06-94D3-19EEA441C0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C88-4D06-94D3-19EEA441C06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Report'!$A$71:$A$73</c:f>
              <c:strCache>
                <c:ptCount val="2"/>
                <c:pt idx="0">
                  <c:v>Female</c:v>
                </c:pt>
                <c:pt idx="1">
                  <c:v>Male</c:v>
                </c:pt>
              </c:strCache>
            </c:strRef>
          </c:cat>
          <c:val>
            <c:numRef>
              <c:f>'Pivot Report'!$B$71:$B$73</c:f>
              <c:numCache>
                <c:formatCode>0</c:formatCode>
                <c:ptCount val="2"/>
                <c:pt idx="0">
                  <c:v>241</c:v>
                </c:pt>
                <c:pt idx="1">
                  <c:v>272</c:v>
                </c:pt>
              </c:numCache>
            </c:numRef>
          </c:val>
          <c:extLst>
            <c:ext xmlns:c16="http://schemas.microsoft.com/office/drawing/2014/chart" uri="{C3380CC4-5D6E-409C-BE32-E72D297353CC}">
              <c16:uniqueId val="{00000004-7C88-4D06-94D3-19EEA441C06F}"/>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r"/>
      <c:layout>
        <c:manualLayout>
          <c:xMode val="edge"/>
          <c:yMode val="edge"/>
          <c:x val="0.53486887462432808"/>
          <c:y val="1.5342686106563793E-3"/>
          <c:w val="0.45981817147370463"/>
          <c:h val="0.312265188057183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Report!PivotTable6</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6"/>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7"/>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8"/>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9"/>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10"/>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11"/>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12"/>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layout>
            <c:manualLayout>
              <c:x val="1.2138868657440682E-3"/>
              <c:y val="-3.2425421530479898E-3"/>
            </c:manualLayout>
          </c:layout>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13"/>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14"/>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15"/>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16"/>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17"/>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18"/>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19"/>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20"/>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21"/>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22"/>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23"/>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24"/>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25"/>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26"/>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27"/>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28"/>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29"/>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30"/>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31"/>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32"/>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33"/>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34"/>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
        <c:idx val="35"/>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
          <c:idx val="0"/>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3.2494413252968285E-2"/>
                  <c:h val="4.5789801566632968E-2"/>
                </c:manualLayout>
              </c15:layout>
            </c:ext>
          </c:extLst>
        </c:dLbl>
      </c:pivotFmt>
    </c:pivotFmts>
    <c:plotArea>
      <c:layout/>
      <c:areaChart>
        <c:grouping val="standard"/>
        <c:varyColors val="0"/>
        <c:ser>
          <c:idx val="0"/>
          <c:order val="0"/>
          <c:tx>
            <c:strRef>
              <c:f>'Pivot Report'!$H$8</c:f>
              <c:strCache>
                <c:ptCount val="1"/>
                <c:pt idx="0">
                  <c:v>Total</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74FE-4D3F-892C-72CCB9E006BD}"/>
              </c:ext>
            </c:extLst>
          </c:dPt>
          <c:dPt>
            <c:idx val="1"/>
            <c:bubble3D val="0"/>
            <c:extLst>
              <c:ext xmlns:c16="http://schemas.microsoft.com/office/drawing/2014/chart" uri="{C3380CC4-5D6E-409C-BE32-E72D297353CC}">
                <c16:uniqueId val="{00000001-74FE-4D3F-892C-72CCB9E006BD}"/>
              </c:ext>
            </c:extLst>
          </c:dPt>
          <c:dPt>
            <c:idx val="2"/>
            <c:bubble3D val="0"/>
            <c:extLst>
              <c:ext xmlns:c16="http://schemas.microsoft.com/office/drawing/2014/chart" uri="{C3380CC4-5D6E-409C-BE32-E72D297353CC}">
                <c16:uniqueId val="{00000002-74FE-4D3F-892C-72CCB9E006BD}"/>
              </c:ext>
            </c:extLst>
          </c:dPt>
          <c:dPt>
            <c:idx val="3"/>
            <c:bubble3D val="0"/>
            <c:extLst>
              <c:ext xmlns:c16="http://schemas.microsoft.com/office/drawing/2014/chart" uri="{C3380CC4-5D6E-409C-BE32-E72D297353CC}">
                <c16:uniqueId val="{00000003-74FE-4D3F-892C-72CCB9E006BD}"/>
              </c:ext>
            </c:extLst>
          </c:dPt>
          <c:dPt>
            <c:idx val="4"/>
            <c:bubble3D val="0"/>
            <c:extLst>
              <c:ext xmlns:c16="http://schemas.microsoft.com/office/drawing/2014/chart" uri="{C3380CC4-5D6E-409C-BE32-E72D297353CC}">
                <c16:uniqueId val="{00000004-74FE-4D3F-892C-72CCB9E006BD}"/>
              </c:ext>
            </c:extLst>
          </c:dPt>
          <c:dPt>
            <c:idx val="5"/>
            <c:bubble3D val="0"/>
            <c:extLst>
              <c:ext xmlns:c16="http://schemas.microsoft.com/office/drawing/2014/chart" uri="{C3380CC4-5D6E-409C-BE32-E72D297353CC}">
                <c16:uniqueId val="{00000005-74FE-4D3F-892C-72CCB9E006BD}"/>
              </c:ext>
            </c:extLst>
          </c:dPt>
          <c:dPt>
            <c:idx val="6"/>
            <c:bubble3D val="0"/>
            <c:extLst>
              <c:ext xmlns:c16="http://schemas.microsoft.com/office/drawing/2014/chart" uri="{C3380CC4-5D6E-409C-BE32-E72D297353CC}">
                <c16:uniqueId val="{00000006-74FE-4D3F-892C-72CCB9E006BD}"/>
              </c:ext>
            </c:extLst>
          </c:dPt>
          <c:dPt>
            <c:idx val="7"/>
            <c:bubble3D val="0"/>
            <c:extLst>
              <c:ext xmlns:c16="http://schemas.microsoft.com/office/drawing/2014/chart" uri="{C3380CC4-5D6E-409C-BE32-E72D297353CC}">
                <c16:uniqueId val="{00000007-74FE-4D3F-892C-72CCB9E006BD}"/>
              </c:ext>
            </c:extLst>
          </c:dPt>
          <c:dPt>
            <c:idx val="8"/>
            <c:bubble3D val="0"/>
            <c:extLst>
              <c:ext xmlns:c16="http://schemas.microsoft.com/office/drawing/2014/chart" uri="{C3380CC4-5D6E-409C-BE32-E72D297353CC}">
                <c16:uniqueId val="{00000008-74FE-4D3F-892C-72CCB9E006BD}"/>
              </c:ext>
            </c:extLst>
          </c:dPt>
          <c:dPt>
            <c:idx val="9"/>
            <c:bubble3D val="0"/>
            <c:extLst>
              <c:ext xmlns:c16="http://schemas.microsoft.com/office/drawing/2014/chart" uri="{C3380CC4-5D6E-409C-BE32-E72D297353CC}">
                <c16:uniqueId val="{00000009-74FE-4D3F-892C-72CCB9E006BD}"/>
              </c:ext>
            </c:extLst>
          </c:dPt>
          <c:dPt>
            <c:idx val="10"/>
            <c:bubble3D val="0"/>
            <c:extLst>
              <c:ext xmlns:c16="http://schemas.microsoft.com/office/drawing/2014/chart" uri="{C3380CC4-5D6E-409C-BE32-E72D297353CC}">
                <c16:uniqueId val="{0000000A-74FE-4D3F-892C-72CCB9E006BD}"/>
              </c:ext>
            </c:extLst>
          </c:dPt>
          <c:dPt>
            <c:idx val="11"/>
            <c:bubble3D val="0"/>
            <c:extLst>
              <c:ext xmlns:c16="http://schemas.microsoft.com/office/drawing/2014/chart" uri="{C3380CC4-5D6E-409C-BE32-E72D297353CC}">
                <c16:uniqueId val="{0000000B-74FE-4D3F-892C-72CCB9E006BD}"/>
              </c:ext>
            </c:extLst>
          </c:dPt>
          <c:dPt>
            <c:idx val="12"/>
            <c:bubble3D val="0"/>
            <c:extLst>
              <c:ext xmlns:c16="http://schemas.microsoft.com/office/drawing/2014/chart" uri="{C3380CC4-5D6E-409C-BE32-E72D297353CC}">
                <c16:uniqueId val="{0000000C-74FE-4D3F-892C-72CCB9E006BD}"/>
              </c:ext>
            </c:extLst>
          </c:dPt>
          <c:dPt>
            <c:idx val="13"/>
            <c:bubble3D val="0"/>
            <c:extLst>
              <c:ext xmlns:c16="http://schemas.microsoft.com/office/drawing/2014/chart" uri="{C3380CC4-5D6E-409C-BE32-E72D297353CC}">
                <c16:uniqueId val="{0000000D-74FE-4D3F-892C-72CCB9E006BD}"/>
              </c:ext>
            </c:extLst>
          </c:dPt>
          <c:dPt>
            <c:idx val="14"/>
            <c:bubble3D val="0"/>
            <c:extLst>
              <c:ext xmlns:c16="http://schemas.microsoft.com/office/drawing/2014/chart" uri="{C3380CC4-5D6E-409C-BE32-E72D297353CC}">
                <c16:uniqueId val="{0000000E-74FE-4D3F-892C-72CCB9E006BD}"/>
              </c:ext>
            </c:extLst>
          </c:dPt>
          <c:dPt>
            <c:idx val="15"/>
            <c:bubble3D val="0"/>
            <c:extLst>
              <c:ext xmlns:c16="http://schemas.microsoft.com/office/drawing/2014/chart" uri="{C3380CC4-5D6E-409C-BE32-E72D297353CC}">
                <c16:uniqueId val="{0000000F-74FE-4D3F-892C-72CCB9E006BD}"/>
              </c:ext>
            </c:extLst>
          </c:dPt>
          <c:dPt>
            <c:idx val="16"/>
            <c:bubble3D val="0"/>
            <c:extLst>
              <c:ext xmlns:c16="http://schemas.microsoft.com/office/drawing/2014/chart" uri="{C3380CC4-5D6E-409C-BE32-E72D297353CC}">
                <c16:uniqueId val="{00000010-74FE-4D3F-892C-72CCB9E006BD}"/>
              </c:ext>
            </c:extLst>
          </c:dPt>
          <c:dPt>
            <c:idx val="17"/>
            <c:bubble3D val="0"/>
            <c:extLst>
              <c:ext xmlns:c16="http://schemas.microsoft.com/office/drawing/2014/chart" uri="{C3380CC4-5D6E-409C-BE32-E72D297353CC}">
                <c16:uniqueId val="{00000011-74FE-4D3F-892C-72CCB9E006BD}"/>
              </c:ext>
            </c:extLst>
          </c:dPt>
          <c:dPt>
            <c:idx val="18"/>
            <c:bubble3D val="0"/>
            <c:extLst>
              <c:ext xmlns:c16="http://schemas.microsoft.com/office/drawing/2014/chart" uri="{C3380CC4-5D6E-409C-BE32-E72D297353CC}">
                <c16:uniqueId val="{00000012-74FE-4D3F-892C-72CCB9E006BD}"/>
              </c:ext>
            </c:extLst>
          </c:dPt>
          <c:dPt>
            <c:idx val="19"/>
            <c:bubble3D val="0"/>
            <c:extLst>
              <c:ext xmlns:c16="http://schemas.microsoft.com/office/drawing/2014/chart" uri="{C3380CC4-5D6E-409C-BE32-E72D297353CC}">
                <c16:uniqueId val="{00000013-74FE-4D3F-892C-72CCB9E006BD}"/>
              </c:ext>
            </c:extLst>
          </c:dPt>
          <c:dPt>
            <c:idx val="20"/>
            <c:bubble3D val="0"/>
            <c:extLst>
              <c:ext xmlns:c16="http://schemas.microsoft.com/office/drawing/2014/chart" uri="{C3380CC4-5D6E-409C-BE32-E72D297353CC}">
                <c16:uniqueId val="{00000014-74FE-4D3F-892C-72CCB9E006BD}"/>
              </c:ext>
            </c:extLst>
          </c:dPt>
          <c:dPt>
            <c:idx val="21"/>
            <c:bubble3D val="0"/>
            <c:extLst>
              <c:ext xmlns:c16="http://schemas.microsoft.com/office/drawing/2014/chart" uri="{C3380CC4-5D6E-409C-BE32-E72D297353CC}">
                <c16:uniqueId val="{00000015-74FE-4D3F-892C-72CCB9E006BD}"/>
              </c:ext>
            </c:extLst>
          </c:dPt>
          <c:dPt>
            <c:idx val="22"/>
            <c:bubble3D val="0"/>
            <c:extLst>
              <c:ext xmlns:c16="http://schemas.microsoft.com/office/drawing/2014/chart" uri="{C3380CC4-5D6E-409C-BE32-E72D297353CC}">
                <c16:uniqueId val="{00000016-74FE-4D3F-892C-72CCB9E006BD}"/>
              </c:ext>
            </c:extLst>
          </c:dPt>
          <c:dPt>
            <c:idx val="23"/>
            <c:bubble3D val="0"/>
            <c:extLst>
              <c:ext xmlns:c16="http://schemas.microsoft.com/office/drawing/2014/chart" uri="{C3380CC4-5D6E-409C-BE32-E72D297353CC}">
                <c16:uniqueId val="{00000017-74FE-4D3F-892C-72CCB9E006BD}"/>
              </c:ext>
            </c:extLst>
          </c:dPt>
          <c:dPt>
            <c:idx val="24"/>
            <c:bubble3D val="0"/>
            <c:extLst>
              <c:ext xmlns:c16="http://schemas.microsoft.com/office/drawing/2014/chart" uri="{C3380CC4-5D6E-409C-BE32-E72D297353CC}">
                <c16:uniqueId val="{00000018-74FE-4D3F-892C-72CCB9E006BD}"/>
              </c:ext>
            </c:extLst>
          </c:dPt>
          <c:dPt>
            <c:idx val="25"/>
            <c:bubble3D val="0"/>
            <c:extLst>
              <c:ext xmlns:c16="http://schemas.microsoft.com/office/drawing/2014/chart" uri="{C3380CC4-5D6E-409C-BE32-E72D297353CC}">
                <c16:uniqueId val="{00000019-74FE-4D3F-892C-72CCB9E006BD}"/>
              </c:ext>
            </c:extLst>
          </c:dPt>
          <c:dPt>
            <c:idx val="26"/>
            <c:bubble3D val="0"/>
            <c:extLst>
              <c:ext xmlns:c16="http://schemas.microsoft.com/office/drawing/2014/chart" uri="{C3380CC4-5D6E-409C-BE32-E72D297353CC}">
                <c16:uniqueId val="{0000001A-74FE-4D3F-892C-72CCB9E006BD}"/>
              </c:ext>
            </c:extLst>
          </c:dPt>
          <c:dPt>
            <c:idx val="27"/>
            <c:bubble3D val="0"/>
            <c:extLst>
              <c:ext xmlns:c16="http://schemas.microsoft.com/office/drawing/2014/chart" uri="{C3380CC4-5D6E-409C-BE32-E72D297353CC}">
                <c16:uniqueId val="{0000001B-74FE-4D3F-892C-72CCB9E006BD}"/>
              </c:ext>
            </c:extLst>
          </c:dPt>
          <c:dPt>
            <c:idx val="28"/>
            <c:bubble3D val="0"/>
            <c:extLst>
              <c:ext xmlns:c16="http://schemas.microsoft.com/office/drawing/2014/chart" uri="{C3380CC4-5D6E-409C-BE32-E72D297353CC}">
                <c16:uniqueId val="{0000001C-74FE-4D3F-892C-72CCB9E006BD}"/>
              </c:ext>
            </c:extLst>
          </c:dPt>
          <c:dPt>
            <c:idx val="29"/>
            <c:bubble3D val="0"/>
            <c:extLst>
              <c:ext xmlns:c16="http://schemas.microsoft.com/office/drawing/2014/chart" uri="{C3380CC4-5D6E-409C-BE32-E72D297353CC}">
                <c16:uniqueId val="{0000001D-74FE-4D3F-892C-72CCB9E006BD}"/>
              </c:ext>
            </c:extLst>
          </c:dPt>
          <c:dPt>
            <c:idx val="30"/>
            <c:bubble3D val="0"/>
            <c:extLst>
              <c:ext xmlns:c16="http://schemas.microsoft.com/office/drawing/2014/chart" uri="{C3380CC4-5D6E-409C-BE32-E72D297353CC}">
                <c16:uniqueId val="{0000001E-74FE-4D3F-892C-72CCB9E006BD}"/>
              </c:ext>
            </c:extLst>
          </c:dPt>
          <c:dLbls>
            <c:dLbl>
              <c:idx val="0"/>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0-74FE-4D3F-892C-72CCB9E006BD}"/>
                </c:ext>
              </c:extLst>
            </c:dLbl>
            <c:dLbl>
              <c:idx val="1"/>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1-74FE-4D3F-892C-72CCB9E006BD}"/>
                </c:ext>
              </c:extLst>
            </c:dLbl>
            <c:dLbl>
              <c:idx val="2"/>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2-74FE-4D3F-892C-72CCB9E006BD}"/>
                </c:ext>
              </c:extLst>
            </c:dLbl>
            <c:dLbl>
              <c:idx val="3"/>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3-74FE-4D3F-892C-72CCB9E006BD}"/>
                </c:ext>
              </c:extLst>
            </c:dLbl>
            <c:dLbl>
              <c:idx val="4"/>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4-74FE-4D3F-892C-72CCB9E006BD}"/>
                </c:ext>
              </c:extLst>
            </c:dLbl>
            <c:dLbl>
              <c:idx val="5"/>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5-74FE-4D3F-892C-72CCB9E006BD}"/>
                </c:ext>
              </c:extLst>
            </c:dLbl>
            <c:dLbl>
              <c:idx val="6"/>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6-74FE-4D3F-892C-72CCB9E006BD}"/>
                </c:ext>
              </c:extLst>
            </c:dLbl>
            <c:dLbl>
              <c:idx val="7"/>
              <c:layout>
                <c:manualLayout>
                  <c:x val="1.2138868657440682E-3"/>
                  <c:y val="-3.2425421530479898E-3"/>
                </c:manualLayout>
              </c:layout>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7-74FE-4D3F-892C-72CCB9E006BD}"/>
                </c:ext>
              </c:extLst>
            </c:dLbl>
            <c:dLbl>
              <c:idx val="8"/>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8-74FE-4D3F-892C-72CCB9E006BD}"/>
                </c:ext>
              </c:extLst>
            </c:dLbl>
            <c:dLbl>
              <c:idx val="9"/>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9-74FE-4D3F-892C-72CCB9E006BD}"/>
                </c:ext>
              </c:extLst>
            </c:dLbl>
            <c:dLbl>
              <c:idx val="10"/>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A-74FE-4D3F-892C-72CCB9E006BD}"/>
                </c:ext>
              </c:extLst>
            </c:dLbl>
            <c:dLbl>
              <c:idx val="11"/>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B-74FE-4D3F-892C-72CCB9E006BD}"/>
                </c:ext>
              </c:extLst>
            </c:dLbl>
            <c:dLbl>
              <c:idx val="12"/>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C-74FE-4D3F-892C-72CCB9E006BD}"/>
                </c:ext>
              </c:extLst>
            </c:dLbl>
            <c:dLbl>
              <c:idx val="13"/>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D-74FE-4D3F-892C-72CCB9E006BD}"/>
                </c:ext>
              </c:extLst>
            </c:dLbl>
            <c:dLbl>
              <c:idx val="14"/>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E-74FE-4D3F-892C-72CCB9E006BD}"/>
                </c:ext>
              </c:extLst>
            </c:dLbl>
            <c:dLbl>
              <c:idx val="15"/>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0F-74FE-4D3F-892C-72CCB9E006BD}"/>
                </c:ext>
              </c:extLst>
            </c:dLbl>
            <c:dLbl>
              <c:idx val="16"/>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0-74FE-4D3F-892C-72CCB9E006BD}"/>
                </c:ext>
              </c:extLst>
            </c:dLbl>
            <c:dLbl>
              <c:idx val="17"/>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1-74FE-4D3F-892C-72CCB9E006BD}"/>
                </c:ext>
              </c:extLst>
            </c:dLbl>
            <c:dLbl>
              <c:idx val="18"/>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2-74FE-4D3F-892C-72CCB9E006BD}"/>
                </c:ext>
              </c:extLst>
            </c:dLbl>
            <c:dLbl>
              <c:idx val="19"/>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3-74FE-4D3F-892C-72CCB9E006BD}"/>
                </c:ext>
              </c:extLst>
            </c:dLbl>
            <c:dLbl>
              <c:idx val="20"/>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4-74FE-4D3F-892C-72CCB9E006BD}"/>
                </c:ext>
              </c:extLst>
            </c:dLbl>
            <c:dLbl>
              <c:idx val="21"/>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5-74FE-4D3F-892C-72CCB9E006BD}"/>
                </c:ext>
              </c:extLst>
            </c:dLbl>
            <c:dLbl>
              <c:idx val="22"/>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6-74FE-4D3F-892C-72CCB9E006BD}"/>
                </c:ext>
              </c:extLst>
            </c:dLbl>
            <c:dLbl>
              <c:idx val="23"/>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7-74FE-4D3F-892C-72CCB9E006BD}"/>
                </c:ext>
              </c:extLst>
            </c:dLbl>
            <c:dLbl>
              <c:idx val="24"/>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8-74FE-4D3F-892C-72CCB9E006BD}"/>
                </c:ext>
              </c:extLst>
            </c:dLbl>
            <c:dLbl>
              <c:idx val="25"/>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9-74FE-4D3F-892C-72CCB9E006BD}"/>
                </c:ext>
              </c:extLst>
            </c:dLbl>
            <c:dLbl>
              <c:idx val="26"/>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A-74FE-4D3F-892C-72CCB9E006BD}"/>
                </c:ext>
              </c:extLst>
            </c:dLbl>
            <c:dLbl>
              <c:idx val="27"/>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B-74FE-4D3F-892C-72CCB9E006BD}"/>
                </c:ext>
              </c:extLst>
            </c:dLbl>
            <c:dLbl>
              <c:idx val="28"/>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C-74FE-4D3F-892C-72CCB9E006BD}"/>
                </c:ext>
              </c:extLst>
            </c:dLbl>
            <c:dLbl>
              <c:idx val="29"/>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D-74FE-4D3F-892C-72CCB9E006BD}"/>
                </c:ext>
              </c:extLst>
            </c:dLbl>
            <c:dLbl>
              <c:idx val="30"/>
              <c:showLegendKey val="0"/>
              <c:showVal val="1"/>
              <c:showCatName val="0"/>
              <c:showSerName val="0"/>
              <c:showPercent val="0"/>
              <c:showBubbleSize val="0"/>
              <c:separator> </c:separator>
              <c:extLst>
                <c:ext xmlns:c15="http://schemas.microsoft.com/office/drawing/2012/chart" uri="{CE6537A1-D6FC-4f65-9D91-7224C49458BB}">
                  <c15:layout>
                    <c:manualLayout>
                      <c:w val="3.2494413252968285E-2"/>
                      <c:h val="4.5789801566632968E-2"/>
                    </c:manualLayout>
                  </c15:layout>
                </c:ext>
                <c:ext xmlns:c16="http://schemas.microsoft.com/office/drawing/2014/chart" uri="{C3380CC4-5D6E-409C-BE32-E72D297353CC}">
                  <c16:uniqueId val="{0000001E-74FE-4D3F-892C-72CCB9E006BD}"/>
                </c:ext>
              </c:extLst>
            </c:dLbl>
            <c:spPr>
              <a:solidFill>
                <a:sysClr val="windowText" lastClr="000000">
                  <a:lumMod val="65000"/>
                  <a:lumOff val="35000"/>
                </a:sysClr>
              </a:solidFill>
              <a:ln>
                <a:solidFill>
                  <a:sysClr val="window" lastClr="FFFFFF">
                    <a:lumMod val="50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Report'!$G$9:$G$40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Report'!$H$9:$H$40</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F984-4A47-B2A8-B19F445774C7}"/>
            </c:ext>
          </c:extLst>
        </c:ser>
        <c:dLbls>
          <c:showLegendKey val="0"/>
          <c:showVal val="1"/>
          <c:showCatName val="0"/>
          <c:showSerName val="0"/>
          <c:showPercent val="0"/>
          <c:showBubbleSize val="0"/>
        </c:dLbls>
        <c:axId val="1720185472"/>
        <c:axId val="1720179232"/>
      </c:areaChart>
      <c:catAx>
        <c:axId val="172018547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720179232"/>
        <c:crosses val="autoZero"/>
        <c:auto val="1"/>
        <c:lblAlgn val="ctr"/>
        <c:lblOffset val="100"/>
        <c:noMultiLvlLbl val="0"/>
      </c:catAx>
      <c:valAx>
        <c:axId val="1720179232"/>
        <c:scaling>
          <c:orientation val="minMax"/>
        </c:scaling>
        <c:delete val="1"/>
        <c:axPos val="l"/>
        <c:numFmt formatCode="0.00" sourceLinked="1"/>
        <c:majorTickMark val="none"/>
        <c:minorTickMark val="none"/>
        <c:tickLblPos val="nextTo"/>
        <c:crossAx val="17201854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Report!PivotTable5</c:name>
    <c:fmtId val="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FFC000"/>
          </a:solidFill>
          <a:ln w="25400" cap="rnd" cmpd="sng">
            <a:solidFill>
              <a:schemeClr val="tx1">
                <a:lumMod val="15000"/>
                <a:lumOff val="85000"/>
                <a:alpha val="77000"/>
              </a:schemeClr>
            </a:solid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dLbl>
          <c:idx val="0"/>
          <c:layout>
            <c:manualLayout>
              <c:x val="3.2628030496931984E-2"/>
              <c:y val="7.5350707110021543E-3"/>
            </c:manualLayout>
          </c:layout>
          <c:spPr>
            <a:noFill/>
            <a:ln>
              <a:noFill/>
            </a:ln>
            <a:effectLst/>
          </c:spPr>
          <c:txPr>
            <a:bodyPr rot="0" spcFirstLastPara="1" vertOverflow="ellipsis" vert="horz" wrap="square" lIns="0" tIns="0" rIns="0" bIns="0" anchor="ctr" anchorCtr="1">
              <a:noAutofit/>
            </a:bodyPr>
            <a:lstStyle/>
            <a:p>
              <a:pPr>
                <a:defRPr sz="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3.1631526770239254E-2"/>
                  <c:h val="4.6037502106259925E-2"/>
                </c:manualLayout>
              </c15:layout>
            </c:ext>
          </c:extLst>
        </c:dLbl>
      </c:pivotFmt>
    </c:pivotFmts>
    <c:plotArea>
      <c:layout/>
      <c:areaChart>
        <c:grouping val="standard"/>
        <c:varyColors val="0"/>
        <c:ser>
          <c:idx val="0"/>
          <c:order val="0"/>
          <c:tx>
            <c:strRef>
              <c:f>'Pivot Report'!$E$8</c:f>
              <c:strCache>
                <c:ptCount val="1"/>
                <c:pt idx="0">
                  <c:v>Total</c:v>
                </c:pt>
              </c:strCache>
            </c:strRef>
          </c:tx>
          <c:spPr>
            <a:solidFill>
              <a:srgbClr val="FFC000"/>
            </a:solidFill>
            <a:ln w="25400" cap="rnd" cmpd="sng">
              <a:solidFill>
                <a:schemeClr val="tx1">
                  <a:lumMod val="15000"/>
                  <a:lumOff val="85000"/>
                  <a:alpha val="77000"/>
                </a:schemeClr>
              </a:solidFill>
            </a:ln>
            <a:effectLst/>
          </c:spPr>
          <c:dLbls>
            <c:spPr>
              <a:noFill/>
              <a:ln>
                <a:noFill/>
              </a:ln>
              <a:effectLst/>
            </c:spPr>
            <c:txPr>
              <a:bodyPr rot="0" spcFirstLastPara="1" vertOverflow="ellipsis" vert="horz" wrap="square" lIns="0" tIns="0" rIns="0" bIns="0" anchor="ctr" anchorCtr="1">
                <a:spAutoFit/>
              </a:bodyPr>
              <a:lstStyle/>
              <a:p>
                <a:pPr>
                  <a:defRPr sz="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'Pivot Report'!$D$9:$D$40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Report'!$E$9:$E$40</c:f>
              <c:numCache>
                <c:formatCode>0.00</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803A-442B-83A0-1B6DCC1D8E9B}"/>
            </c:ext>
          </c:extLst>
        </c:ser>
        <c:dLbls>
          <c:showLegendKey val="0"/>
          <c:showVal val="0"/>
          <c:showCatName val="0"/>
          <c:showSerName val="0"/>
          <c:showPercent val="0"/>
          <c:showBubbleSize val="0"/>
        </c:dLbls>
        <c:axId val="140876927"/>
        <c:axId val="140867807"/>
      </c:areaChart>
      <c:catAx>
        <c:axId val="140876927"/>
        <c:scaling>
          <c:orientation val="minMax"/>
        </c:scaling>
        <c:delete val="0"/>
        <c:axPos val="b"/>
        <c:numFmt formatCode="General" sourceLinked="1"/>
        <c:majorTickMark val="out"/>
        <c:minorTickMark val="none"/>
        <c:tickLblPos val="nextTo"/>
        <c:spPr>
          <a:noFill/>
          <a:ln w="9525" cap="flat" cmpd="sng" algn="ctr">
            <a:solidFill>
              <a:srgbClr val="0070C0">
                <a:alpha val="97000"/>
              </a:srgb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40867807"/>
        <c:crosses val="autoZero"/>
        <c:auto val="1"/>
        <c:lblAlgn val="ctr"/>
        <c:lblOffset val="100"/>
        <c:noMultiLvlLbl val="0"/>
      </c:catAx>
      <c:valAx>
        <c:axId val="140867807"/>
        <c:scaling>
          <c:orientation val="minMax"/>
        </c:scaling>
        <c:delete val="1"/>
        <c:axPos val="l"/>
        <c:numFmt formatCode="0.00" sourceLinked="1"/>
        <c:majorTickMark val="out"/>
        <c:minorTickMark val="none"/>
        <c:tickLblPos val="nextTo"/>
        <c:crossAx val="1408769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sz="600"/>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Report!PivotTable7</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24958342961217"/>
          <c:y val="0.11726915232639606"/>
          <c:w val="0.79950083314077569"/>
          <c:h val="0.72148516037135313"/>
        </c:manualLayout>
      </c:layout>
      <c:areaChart>
        <c:grouping val="standard"/>
        <c:varyColors val="0"/>
        <c:ser>
          <c:idx val="0"/>
          <c:order val="0"/>
          <c:tx>
            <c:strRef>
              <c:f>'Pivot Report'!$L$8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Report'!$K$9:$K$40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Report'!$L$9:$L$40</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24ED-41D2-A148-82B7997C20B5}"/>
            </c:ext>
          </c:extLst>
        </c:ser>
        <c:dLbls>
          <c:showLegendKey val="0"/>
          <c:showVal val="0"/>
          <c:showCatName val="0"/>
          <c:showSerName val="0"/>
          <c:showPercent val="0"/>
          <c:showBubbleSize val="0"/>
        </c:dLbls>
        <c:axId val="343867951"/>
        <c:axId val="343853071"/>
      </c:areaChart>
      <c:catAx>
        <c:axId val="34386795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3853071"/>
        <c:crosses val="autoZero"/>
        <c:auto val="1"/>
        <c:lblAlgn val="ctr"/>
        <c:lblOffset val="100"/>
        <c:noMultiLvlLbl val="0"/>
      </c:catAx>
      <c:valAx>
        <c:axId val="343853071"/>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343867951"/>
        <c:crosses val="autoZero"/>
        <c:crossBetween val="midCat"/>
      </c:valAx>
      <c:spPr>
        <a:solidFill>
          <a:schemeClr val="bg2"/>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_ER_Number_Patients!A1"/><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Patient Satisfaction'!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Daily Wait Time '!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358140</xdr:colOff>
      <xdr:row>42</xdr:row>
      <xdr:rowOff>60960</xdr:rowOff>
    </xdr:from>
    <xdr:to>
      <xdr:col>5</xdr:col>
      <xdr:colOff>60960</xdr:colOff>
      <xdr:row>45</xdr:row>
      <xdr:rowOff>22860</xdr:rowOff>
    </xdr:to>
    <xdr:graphicFrame macro="">
      <xdr:nvGraphicFramePr>
        <xdr:cNvPr id="9" name="Chart 8">
          <a:extLst>
            <a:ext uri="{FF2B5EF4-FFF2-40B4-BE49-F238E27FC236}">
              <a16:creationId xmlns:a16="http://schemas.microsoft.com/office/drawing/2014/main" id="{22211FB1-CE90-05A2-A583-FEDC8D677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57410</xdr:colOff>
      <xdr:row>0</xdr:row>
      <xdr:rowOff>26096</xdr:rowOff>
    </xdr:from>
    <xdr:to>
      <xdr:col>6</xdr:col>
      <xdr:colOff>161795</xdr:colOff>
      <xdr:row>3</xdr:row>
      <xdr:rowOff>93944</xdr:rowOff>
    </xdr:to>
    <xdr:sp macro="" textlink="">
      <xdr:nvSpPr>
        <xdr:cNvPr id="2" name="Rectangle: Rounded Corners 1">
          <a:extLst>
            <a:ext uri="{FF2B5EF4-FFF2-40B4-BE49-F238E27FC236}">
              <a16:creationId xmlns:a16="http://schemas.microsoft.com/office/drawing/2014/main" id="{B2A9A9BB-93C8-699E-110D-3F031120F984}"/>
            </a:ext>
          </a:extLst>
        </xdr:cNvPr>
        <xdr:cNvSpPr/>
      </xdr:nvSpPr>
      <xdr:spPr>
        <a:xfrm>
          <a:off x="57410" y="26096"/>
          <a:ext cx="3768248" cy="615862"/>
        </a:xfrm>
        <a:prstGeom prst="roundRect">
          <a:avLst>
            <a:gd name="adj" fmla="val 0"/>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208768</xdr:colOff>
      <xdr:row>0</xdr:row>
      <xdr:rowOff>10439</xdr:rowOff>
    </xdr:from>
    <xdr:to>
      <xdr:col>8</xdr:col>
      <xdr:colOff>120042</xdr:colOff>
      <xdr:row>3</xdr:row>
      <xdr:rowOff>78287</xdr:rowOff>
    </xdr:to>
    <xdr:sp macro="" textlink="">
      <xdr:nvSpPr>
        <xdr:cNvPr id="3" name="Rectangle: Rounded Corners 2">
          <a:extLst>
            <a:ext uri="{FF2B5EF4-FFF2-40B4-BE49-F238E27FC236}">
              <a16:creationId xmlns:a16="http://schemas.microsoft.com/office/drawing/2014/main" id="{0AA92FD4-0795-56F7-A384-F897CAFB92F3}"/>
            </a:ext>
          </a:extLst>
        </xdr:cNvPr>
        <xdr:cNvSpPr/>
      </xdr:nvSpPr>
      <xdr:spPr>
        <a:xfrm>
          <a:off x="3872631" y="10439"/>
          <a:ext cx="1132562" cy="615862"/>
        </a:xfrm>
        <a:prstGeom prst="roundRect">
          <a:avLst>
            <a:gd name="adj" fmla="val 0"/>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250520</xdr:colOff>
      <xdr:row>0</xdr:row>
      <xdr:rowOff>10439</xdr:rowOff>
    </xdr:from>
    <xdr:to>
      <xdr:col>10</xdr:col>
      <xdr:colOff>161796</xdr:colOff>
      <xdr:row>7</xdr:row>
      <xdr:rowOff>5219</xdr:rowOff>
    </xdr:to>
    <xdr:sp macro="" textlink="">
      <xdr:nvSpPr>
        <xdr:cNvPr id="5" name="Rectangle: Rounded Corners 4">
          <a:extLst>
            <a:ext uri="{FF2B5EF4-FFF2-40B4-BE49-F238E27FC236}">
              <a16:creationId xmlns:a16="http://schemas.microsoft.com/office/drawing/2014/main" id="{A81D9012-FDEB-C542-0E93-D0E86C40E73E}"/>
            </a:ext>
          </a:extLst>
        </xdr:cNvPr>
        <xdr:cNvSpPr/>
      </xdr:nvSpPr>
      <xdr:spPr>
        <a:xfrm>
          <a:off x="5135671" y="10439"/>
          <a:ext cx="1132563" cy="1273479"/>
        </a:xfrm>
        <a:prstGeom prst="roundRect">
          <a:avLst>
            <a:gd name="adj" fmla="val 0"/>
          </a:avLst>
        </a:prstGeom>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422753</xdr:colOff>
      <xdr:row>0</xdr:row>
      <xdr:rowOff>10439</xdr:rowOff>
    </xdr:from>
    <xdr:to>
      <xdr:col>12</xdr:col>
      <xdr:colOff>334028</xdr:colOff>
      <xdr:row>7</xdr:row>
      <xdr:rowOff>5219</xdr:rowOff>
    </xdr:to>
    <xdr:sp macro="" textlink="">
      <xdr:nvSpPr>
        <xdr:cNvPr id="6" name="Rectangle: Rounded Corners 5">
          <a:extLst>
            <a:ext uri="{FF2B5EF4-FFF2-40B4-BE49-F238E27FC236}">
              <a16:creationId xmlns:a16="http://schemas.microsoft.com/office/drawing/2014/main" id="{90A2F402-6C74-3328-A452-0494D0415293}"/>
            </a:ext>
          </a:extLst>
        </xdr:cNvPr>
        <xdr:cNvSpPr/>
      </xdr:nvSpPr>
      <xdr:spPr>
        <a:xfrm>
          <a:off x="6529191" y="10439"/>
          <a:ext cx="1132563" cy="1273479"/>
        </a:xfrm>
        <a:prstGeom prst="roundRect">
          <a:avLst>
            <a:gd name="adj" fmla="val 0"/>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15658</xdr:colOff>
      <xdr:row>4</xdr:row>
      <xdr:rowOff>10438</xdr:rowOff>
    </xdr:from>
    <xdr:to>
      <xdr:col>1</xdr:col>
      <xdr:colOff>182671</xdr:colOff>
      <xdr:row>18</xdr:row>
      <xdr:rowOff>1</xdr:rowOff>
    </xdr:to>
    <xdr:sp macro="" textlink="">
      <xdr:nvSpPr>
        <xdr:cNvPr id="7" name="Rectangle: Rounded Corners 6">
          <a:extLst>
            <a:ext uri="{FF2B5EF4-FFF2-40B4-BE49-F238E27FC236}">
              <a16:creationId xmlns:a16="http://schemas.microsoft.com/office/drawing/2014/main" id="{41C3C5E1-8DCE-82EB-AC12-BE66D7733237}"/>
            </a:ext>
          </a:extLst>
        </xdr:cNvPr>
        <xdr:cNvSpPr/>
      </xdr:nvSpPr>
      <xdr:spPr>
        <a:xfrm>
          <a:off x="15658" y="741123"/>
          <a:ext cx="777657" cy="2546960"/>
        </a:xfrm>
        <a:prstGeom prst="roundRect">
          <a:avLst>
            <a:gd name="adj" fmla="val 0"/>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349685</xdr:colOff>
      <xdr:row>4</xdr:row>
      <xdr:rowOff>20877</xdr:rowOff>
    </xdr:from>
    <xdr:to>
      <xdr:col>3</xdr:col>
      <xdr:colOff>319670</xdr:colOff>
      <xdr:row>9</xdr:row>
      <xdr:rowOff>120041</xdr:rowOff>
    </xdr:to>
    <xdr:sp macro="" textlink="">
      <xdr:nvSpPr>
        <xdr:cNvPr id="8" name="Rectangle: Rounded Corners 7">
          <a:extLst>
            <a:ext uri="{FF2B5EF4-FFF2-40B4-BE49-F238E27FC236}">
              <a16:creationId xmlns:a16="http://schemas.microsoft.com/office/drawing/2014/main" id="{EDB6DEBB-B2DE-84C4-F2AE-F96ACF30E753}"/>
            </a:ext>
          </a:extLst>
        </xdr:cNvPr>
        <xdr:cNvSpPr/>
      </xdr:nvSpPr>
      <xdr:spPr>
        <a:xfrm>
          <a:off x="960329" y="751562"/>
          <a:ext cx="1191273" cy="1012520"/>
        </a:xfrm>
        <a:prstGeom prst="roundRect">
          <a:avLst>
            <a:gd name="adj" fmla="val 0"/>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429932</xdr:colOff>
      <xdr:row>4</xdr:row>
      <xdr:rowOff>15658</xdr:rowOff>
    </xdr:from>
    <xdr:to>
      <xdr:col>5</xdr:col>
      <xdr:colOff>472986</xdr:colOff>
      <xdr:row>9</xdr:row>
      <xdr:rowOff>114822</xdr:rowOff>
    </xdr:to>
    <xdr:sp macro="" textlink="">
      <xdr:nvSpPr>
        <xdr:cNvPr id="9" name="Rectangle: Rounded Corners 8">
          <a:extLst>
            <a:ext uri="{FF2B5EF4-FFF2-40B4-BE49-F238E27FC236}">
              <a16:creationId xmlns:a16="http://schemas.microsoft.com/office/drawing/2014/main" id="{3858ED27-8760-5674-16BD-591C21216BFC}"/>
            </a:ext>
          </a:extLst>
        </xdr:cNvPr>
        <xdr:cNvSpPr/>
      </xdr:nvSpPr>
      <xdr:spPr>
        <a:xfrm>
          <a:off x="2261864" y="746343"/>
          <a:ext cx="1264341" cy="1012520"/>
        </a:xfrm>
        <a:prstGeom prst="roundRect">
          <a:avLst>
            <a:gd name="adj" fmla="val 0"/>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177452</xdr:colOff>
      <xdr:row>4</xdr:row>
      <xdr:rowOff>15658</xdr:rowOff>
    </xdr:from>
    <xdr:to>
      <xdr:col>8</xdr:col>
      <xdr:colOff>104383</xdr:colOff>
      <xdr:row>9</xdr:row>
      <xdr:rowOff>114822</xdr:rowOff>
    </xdr:to>
    <xdr:sp macro="" textlink="">
      <xdr:nvSpPr>
        <xdr:cNvPr id="10" name="Rectangle: Rounded Corners 9">
          <a:extLst>
            <a:ext uri="{FF2B5EF4-FFF2-40B4-BE49-F238E27FC236}">
              <a16:creationId xmlns:a16="http://schemas.microsoft.com/office/drawing/2014/main" id="{85FAF218-3483-B09F-BADE-8FBE900B3EC9}"/>
            </a:ext>
          </a:extLst>
        </xdr:cNvPr>
        <xdr:cNvSpPr/>
      </xdr:nvSpPr>
      <xdr:spPr>
        <a:xfrm>
          <a:off x="3841315" y="746343"/>
          <a:ext cx="1148219" cy="1012520"/>
        </a:xfrm>
        <a:prstGeom prst="roundRect">
          <a:avLst>
            <a:gd name="adj" fmla="val 0"/>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450809</xdr:colOff>
      <xdr:row>4</xdr:row>
      <xdr:rowOff>26096</xdr:rowOff>
    </xdr:from>
    <xdr:to>
      <xdr:col>5</xdr:col>
      <xdr:colOff>493863</xdr:colOff>
      <xdr:row>9</xdr:row>
      <xdr:rowOff>125260</xdr:rowOff>
    </xdr:to>
    <xdr:sp macro="" textlink="">
      <xdr:nvSpPr>
        <xdr:cNvPr id="28" name="Rectangle: Rounded Corners 27">
          <a:extLst>
            <a:ext uri="{FF2B5EF4-FFF2-40B4-BE49-F238E27FC236}">
              <a16:creationId xmlns:a16="http://schemas.microsoft.com/office/drawing/2014/main" id="{C25049EC-80FA-C8AC-60B8-4CADD29E2B77}"/>
            </a:ext>
          </a:extLst>
        </xdr:cNvPr>
        <xdr:cNvSpPr/>
      </xdr:nvSpPr>
      <xdr:spPr>
        <a:xfrm>
          <a:off x="2282741" y="756781"/>
          <a:ext cx="1264341" cy="1012520"/>
        </a:xfrm>
        <a:prstGeom prst="roundRect">
          <a:avLst>
            <a:gd name="adj" fmla="val 0"/>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255740</xdr:colOff>
      <xdr:row>12</xdr:row>
      <xdr:rowOff>99164</xdr:rowOff>
    </xdr:from>
    <xdr:to>
      <xdr:col>8</xdr:col>
      <xdr:colOff>114821</xdr:colOff>
      <xdr:row>18</xdr:row>
      <xdr:rowOff>15657</xdr:rowOff>
    </xdr:to>
    <xdr:sp macro="" textlink="">
      <xdr:nvSpPr>
        <xdr:cNvPr id="29" name="Rectangle: Rounded Corners 28">
          <a:extLst>
            <a:ext uri="{FF2B5EF4-FFF2-40B4-BE49-F238E27FC236}">
              <a16:creationId xmlns:a16="http://schemas.microsoft.com/office/drawing/2014/main" id="{7E771E9F-7CC1-F525-87C9-205401EE3146}"/>
            </a:ext>
          </a:extLst>
        </xdr:cNvPr>
        <xdr:cNvSpPr/>
      </xdr:nvSpPr>
      <xdr:spPr>
        <a:xfrm>
          <a:off x="866384" y="2291219"/>
          <a:ext cx="4133588" cy="1012520"/>
        </a:xfrm>
        <a:prstGeom prst="roundRect">
          <a:avLst>
            <a:gd name="adj" fmla="val 0"/>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339246</xdr:colOff>
      <xdr:row>9</xdr:row>
      <xdr:rowOff>167014</xdr:rowOff>
    </xdr:from>
    <xdr:to>
      <xdr:col>8</xdr:col>
      <xdr:colOff>120041</xdr:colOff>
      <xdr:row>12</xdr:row>
      <xdr:rowOff>73068</xdr:rowOff>
    </xdr:to>
    <xdr:sp macro="" textlink="">
      <xdr:nvSpPr>
        <xdr:cNvPr id="30" name="Rectangle: Rounded Corners 29">
          <a:extLst>
            <a:ext uri="{FF2B5EF4-FFF2-40B4-BE49-F238E27FC236}">
              <a16:creationId xmlns:a16="http://schemas.microsoft.com/office/drawing/2014/main" id="{29412DDB-FBE5-0F41-6B07-A9BF42DD795D}"/>
            </a:ext>
          </a:extLst>
        </xdr:cNvPr>
        <xdr:cNvSpPr/>
      </xdr:nvSpPr>
      <xdr:spPr>
        <a:xfrm>
          <a:off x="949890" y="1811055"/>
          <a:ext cx="4055302" cy="454068"/>
        </a:xfrm>
        <a:prstGeom prst="roundRect">
          <a:avLst>
            <a:gd name="adj" fmla="val 0"/>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464507</xdr:colOff>
      <xdr:row>18</xdr:row>
      <xdr:rowOff>20877</xdr:rowOff>
    </xdr:from>
    <xdr:to>
      <xdr:col>8</xdr:col>
      <xdr:colOff>553233</xdr:colOff>
      <xdr:row>18</xdr:row>
      <xdr:rowOff>20877</xdr:rowOff>
    </xdr:to>
    <xdr:cxnSp macro="">
      <xdr:nvCxnSpPr>
        <xdr:cNvPr id="32" name="Straight Connector 31">
          <a:extLst>
            <a:ext uri="{FF2B5EF4-FFF2-40B4-BE49-F238E27FC236}">
              <a16:creationId xmlns:a16="http://schemas.microsoft.com/office/drawing/2014/main" id="{B3975B70-FD05-8B79-DD67-4AB676AB6B01}"/>
            </a:ext>
          </a:extLst>
        </xdr:cNvPr>
        <xdr:cNvCxnSpPr/>
      </xdr:nvCxnSpPr>
      <xdr:spPr>
        <a:xfrm>
          <a:off x="464507" y="3308959"/>
          <a:ext cx="4973877" cy="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271397</xdr:colOff>
      <xdr:row>7</xdr:row>
      <xdr:rowOff>172235</xdr:rowOff>
    </xdr:from>
    <xdr:to>
      <xdr:col>12</xdr:col>
      <xdr:colOff>417534</xdr:colOff>
      <xdr:row>18</xdr:row>
      <xdr:rowOff>67851</xdr:rowOff>
    </xdr:to>
    <xdr:sp macro="" textlink="">
      <xdr:nvSpPr>
        <xdr:cNvPr id="33" name="Rectangle: Rounded Corners 32">
          <a:extLst>
            <a:ext uri="{FF2B5EF4-FFF2-40B4-BE49-F238E27FC236}">
              <a16:creationId xmlns:a16="http://schemas.microsoft.com/office/drawing/2014/main" id="{C810D598-2BCF-EFBF-77B4-72B102CF8028}"/>
            </a:ext>
          </a:extLst>
        </xdr:cNvPr>
        <xdr:cNvSpPr/>
      </xdr:nvSpPr>
      <xdr:spPr>
        <a:xfrm>
          <a:off x="5156548" y="1450934"/>
          <a:ext cx="2588712" cy="1904999"/>
        </a:xfrm>
        <a:prstGeom prst="roundRect">
          <a:avLst>
            <a:gd name="adj" fmla="val 0"/>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800" b="1">
            <a:solidFill>
              <a:schemeClr val="tx1"/>
            </a:solidFill>
          </a:endParaRPr>
        </a:p>
      </xdr:txBody>
    </xdr:sp>
    <xdr:clientData/>
  </xdr:twoCellAnchor>
  <xdr:twoCellAnchor editAs="absolute">
    <xdr:from>
      <xdr:col>1</xdr:col>
      <xdr:colOff>46972</xdr:colOff>
      <xdr:row>0</xdr:row>
      <xdr:rowOff>172233</xdr:rowOff>
    </xdr:from>
    <xdr:to>
      <xdr:col>5</xdr:col>
      <xdr:colOff>130480</xdr:colOff>
      <xdr:row>2</xdr:row>
      <xdr:rowOff>26096</xdr:rowOff>
    </xdr:to>
    <xdr:sp macro="" textlink="">
      <xdr:nvSpPr>
        <xdr:cNvPr id="34" name="TextBox 33">
          <a:extLst>
            <a:ext uri="{FF2B5EF4-FFF2-40B4-BE49-F238E27FC236}">
              <a16:creationId xmlns:a16="http://schemas.microsoft.com/office/drawing/2014/main" id="{CC20B588-C73F-E962-7A24-93A645F6243F}"/>
            </a:ext>
          </a:extLst>
        </xdr:cNvPr>
        <xdr:cNvSpPr txBox="1"/>
      </xdr:nvSpPr>
      <xdr:spPr>
        <a:xfrm>
          <a:off x="657616" y="172233"/>
          <a:ext cx="2526083" cy="219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a:solidFill>
                <a:schemeClr val="bg1"/>
              </a:solidFill>
            </a:rPr>
            <a:t>      Hospital</a:t>
          </a:r>
          <a:r>
            <a:rPr lang="en-US" sz="1100" b="1" baseline="0">
              <a:solidFill>
                <a:schemeClr val="bg1"/>
              </a:solidFill>
            </a:rPr>
            <a:t> Emergency Room Dashboard</a:t>
          </a:r>
          <a:endParaRPr lang="en-US" sz="1100" b="1">
            <a:solidFill>
              <a:schemeClr val="bg1"/>
            </a:solidFill>
          </a:endParaRPr>
        </a:p>
      </xdr:txBody>
    </xdr:sp>
    <xdr:clientData/>
  </xdr:twoCellAnchor>
  <xdr:twoCellAnchor editAs="oneCell">
    <xdr:from>
      <xdr:col>0</xdr:col>
      <xdr:colOff>36534</xdr:colOff>
      <xdr:row>0</xdr:row>
      <xdr:rowOff>1</xdr:rowOff>
    </xdr:from>
    <xdr:to>
      <xdr:col>1</xdr:col>
      <xdr:colOff>20877</xdr:colOff>
      <xdr:row>2</xdr:row>
      <xdr:rowOff>67851</xdr:rowOff>
    </xdr:to>
    <xdr:pic>
      <xdr:nvPicPr>
        <xdr:cNvPr id="36" name="Picture 35">
          <a:extLst>
            <a:ext uri="{FF2B5EF4-FFF2-40B4-BE49-F238E27FC236}">
              <a16:creationId xmlns:a16="http://schemas.microsoft.com/office/drawing/2014/main" id="{090CC638-40E6-7590-37C9-55FAAA7422F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390" b="21698"/>
        <a:stretch>
          <a:fillRect/>
        </a:stretch>
      </xdr:blipFill>
      <xdr:spPr>
        <a:xfrm>
          <a:off x="36534" y="1"/>
          <a:ext cx="594987" cy="433192"/>
        </a:xfrm>
        <a:prstGeom prst="rect">
          <a:avLst/>
        </a:prstGeom>
      </xdr:spPr>
    </xdr:pic>
    <xdr:clientData/>
  </xdr:twoCellAnchor>
  <xdr:twoCellAnchor editAs="absolute">
    <xdr:from>
      <xdr:col>1</xdr:col>
      <xdr:colOff>93945</xdr:colOff>
      <xdr:row>1</xdr:row>
      <xdr:rowOff>141962</xdr:rowOff>
    </xdr:from>
    <xdr:to>
      <xdr:col>4</xdr:col>
      <xdr:colOff>255740</xdr:colOff>
      <xdr:row>2</xdr:row>
      <xdr:rowOff>178496</xdr:rowOff>
    </xdr:to>
    <xdr:sp macro="" textlink="">
      <xdr:nvSpPr>
        <xdr:cNvPr id="38" name="TextBox 37">
          <a:extLst>
            <a:ext uri="{FF2B5EF4-FFF2-40B4-BE49-F238E27FC236}">
              <a16:creationId xmlns:a16="http://schemas.microsoft.com/office/drawing/2014/main" id="{80A47224-101E-3CE9-40D1-6241EC2143B8}"/>
            </a:ext>
          </a:extLst>
        </xdr:cNvPr>
        <xdr:cNvSpPr txBox="1"/>
      </xdr:nvSpPr>
      <xdr:spPr>
        <a:xfrm>
          <a:off x="704589" y="324633"/>
          <a:ext cx="1993726" cy="219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a:solidFill>
                <a:schemeClr val="bg1"/>
              </a:solidFill>
            </a:rPr>
            <a:t>      Monthly</a:t>
          </a:r>
          <a:r>
            <a:rPr lang="en-US" sz="1100" b="1" baseline="0">
              <a:solidFill>
                <a:schemeClr val="bg1"/>
              </a:solidFill>
            </a:rPr>
            <a:t> Report</a:t>
          </a:r>
          <a:endParaRPr lang="en-US" sz="1100" b="1">
            <a:solidFill>
              <a:schemeClr val="bg1"/>
            </a:solidFill>
          </a:endParaRPr>
        </a:p>
      </xdr:txBody>
    </xdr:sp>
    <xdr:clientData/>
  </xdr:twoCellAnchor>
  <xdr:twoCellAnchor editAs="absolute">
    <xdr:from>
      <xdr:col>1</xdr:col>
      <xdr:colOff>88725</xdr:colOff>
      <xdr:row>5</xdr:row>
      <xdr:rowOff>109603</xdr:rowOff>
    </xdr:from>
    <xdr:to>
      <xdr:col>3</xdr:col>
      <xdr:colOff>433190</xdr:colOff>
      <xdr:row>7</xdr:row>
      <xdr:rowOff>12525</xdr:rowOff>
    </xdr:to>
    <xdr:sp macro="" textlink="'Pivot Report'!A7">
      <xdr:nvSpPr>
        <xdr:cNvPr id="39" name="TextBox 38">
          <a:extLst>
            <a:ext uri="{FF2B5EF4-FFF2-40B4-BE49-F238E27FC236}">
              <a16:creationId xmlns:a16="http://schemas.microsoft.com/office/drawing/2014/main" id="{DCFF63F7-79B7-61E9-3868-AA7FABCF1AD5}"/>
            </a:ext>
          </a:extLst>
        </xdr:cNvPr>
        <xdr:cNvSpPr txBox="1"/>
      </xdr:nvSpPr>
      <xdr:spPr>
        <a:xfrm>
          <a:off x="699369" y="1022959"/>
          <a:ext cx="1565753" cy="268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B42C96D-F979-4A77-8227-9B29507BFC46}" type="TxLink">
            <a:rPr lang="en-US" sz="1100" b="1" i="0" u="none" strike="noStrike">
              <a:solidFill>
                <a:schemeClr val="bg1"/>
              </a:solidFill>
              <a:latin typeface="Calibri"/>
              <a:ea typeface="Calibri"/>
              <a:cs typeface="Calibri"/>
            </a:rPr>
            <a:pPr algn="ctr"/>
            <a:t>513</a:t>
          </a:fld>
          <a:endParaRPr lang="en-US" sz="1600" b="1">
            <a:solidFill>
              <a:schemeClr val="bg1"/>
            </a:solidFill>
          </a:endParaRPr>
        </a:p>
      </xdr:txBody>
    </xdr:sp>
    <xdr:clientData/>
  </xdr:twoCellAnchor>
  <xdr:twoCellAnchor editAs="absolute">
    <xdr:from>
      <xdr:col>1</xdr:col>
      <xdr:colOff>125260</xdr:colOff>
      <xdr:row>7</xdr:row>
      <xdr:rowOff>31315</xdr:rowOff>
    </xdr:from>
    <xdr:to>
      <xdr:col>3</xdr:col>
      <xdr:colOff>234863</xdr:colOff>
      <xdr:row>8</xdr:row>
      <xdr:rowOff>116909</xdr:rowOff>
    </xdr:to>
    <xdr:sp macro="" textlink="">
      <xdr:nvSpPr>
        <xdr:cNvPr id="40" name="TextBox 39">
          <a:extLst>
            <a:ext uri="{FF2B5EF4-FFF2-40B4-BE49-F238E27FC236}">
              <a16:creationId xmlns:a16="http://schemas.microsoft.com/office/drawing/2014/main" id="{45186E49-6C56-D921-ED1B-5720C9A630AD}"/>
            </a:ext>
          </a:extLst>
        </xdr:cNvPr>
        <xdr:cNvSpPr txBox="1"/>
      </xdr:nvSpPr>
      <xdr:spPr>
        <a:xfrm>
          <a:off x="735904" y="1310014"/>
          <a:ext cx="1330891" cy="268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a:solidFill>
                <a:schemeClr val="bg1"/>
              </a:solidFill>
            </a:rPr>
            <a:t>      No</a:t>
          </a:r>
          <a:r>
            <a:rPr lang="en-US" sz="1100" b="1" baseline="0">
              <a:solidFill>
                <a:schemeClr val="bg1"/>
              </a:solidFill>
            </a:rPr>
            <a:t> of Patients</a:t>
          </a:r>
          <a:endParaRPr lang="en-US" sz="1100" b="1">
            <a:solidFill>
              <a:schemeClr val="bg1"/>
            </a:solidFill>
          </a:endParaRPr>
        </a:p>
      </xdr:txBody>
    </xdr:sp>
    <xdr:clientData/>
  </xdr:twoCellAnchor>
  <xdr:twoCellAnchor editAs="absolute">
    <xdr:from>
      <xdr:col>3</xdr:col>
      <xdr:colOff>438411</xdr:colOff>
      <xdr:row>7</xdr:row>
      <xdr:rowOff>31315</xdr:rowOff>
    </xdr:from>
    <xdr:to>
      <xdr:col>5</xdr:col>
      <xdr:colOff>360124</xdr:colOff>
      <xdr:row>8</xdr:row>
      <xdr:rowOff>116909</xdr:rowOff>
    </xdr:to>
    <xdr:sp macro="" textlink="">
      <xdr:nvSpPr>
        <xdr:cNvPr id="42" name="TextBox 41">
          <a:extLst>
            <a:ext uri="{FF2B5EF4-FFF2-40B4-BE49-F238E27FC236}">
              <a16:creationId xmlns:a16="http://schemas.microsoft.com/office/drawing/2014/main" id="{17509648-1B8B-EDC9-FCB0-F2A8FCF6B50C}"/>
            </a:ext>
          </a:extLst>
        </xdr:cNvPr>
        <xdr:cNvSpPr txBox="1"/>
      </xdr:nvSpPr>
      <xdr:spPr>
        <a:xfrm>
          <a:off x="2270343" y="1310014"/>
          <a:ext cx="1143000" cy="268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a:solidFill>
                <a:schemeClr val="bg1"/>
              </a:solidFill>
            </a:rPr>
            <a:t>      </a:t>
          </a:r>
          <a:r>
            <a:rPr lang="en-US" sz="1200" b="1">
              <a:solidFill>
                <a:schemeClr val="bg1"/>
              </a:solidFill>
            </a:rPr>
            <a:t>Avg</a:t>
          </a:r>
          <a:r>
            <a:rPr lang="en-US" sz="1200" b="1" baseline="0">
              <a:solidFill>
                <a:schemeClr val="bg1"/>
              </a:solidFill>
            </a:rPr>
            <a:t> </a:t>
          </a:r>
          <a:r>
            <a:rPr lang="en-US" sz="900" b="1" baseline="0">
              <a:solidFill>
                <a:schemeClr val="bg1"/>
              </a:solidFill>
            </a:rPr>
            <a:t>Wait</a:t>
          </a:r>
          <a:r>
            <a:rPr lang="en-US" sz="1200" b="1" baseline="0">
              <a:solidFill>
                <a:schemeClr val="bg1"/>
              </a:solidFill>
            </a:rPr>
            <a:t> Time</a:t>
          </a:r>
          <a:endParaRPr lang="en-US" sz="1100" b="1">
            <a:solidFill>
              <a:schemeClr val="bg1"/>
            </a:solidFill>
          </a:endParaRPr>
        </a:p>
      </xdr:txBody>
    </xdr:sp>
    <xdr:clientData/>
  </xdr:twoCellAnchor>
  <xdr:twoCellAnchor editAs="absolute">
    <xdr:from>
      <xdr:col>3</xdr:col>
      <xdr:colOff>140919</xdr:colOff>
      <xdr:row>5</xdr:row>
      <xdr:rowOff>99166</xdr:rowOff>
    </xdr:from>
    <xdr:to>
      <xdr:col>6</xdr:col>
      <xdr:colOff>120042</xdr:colOff>
      <xdr:row>7</xdr:row>
      <xdr:rowOff>20877</xdr:rowOff>
    </xdr:to>
    <xdr:sp macro="" textlink="'Pivot Report'!A13">
      <xdr:nvSpPr>
        <xdr:cNvPr id="41" name="TextBox 40">
          <a:extLst>
            <a:ext uri="{FF2B5EF4-FFF2-40B4-BE49-F238E27FC236}">
              <a16:creationId xmlns:a16="http://schemas.microsoft.com/office/drawing/2014/main" id="{D9B56D82-ED55-E661-0580-FFBE9B3E55A4}"/>
            </a:ext>
          </a:extLst>
        </xdr:cNvPr>
        <xdr:cNvSpPr txBox="1"/>
      </xdr:nvSpPr>
      <xdr:spPr>
        <a:xfrm>
          <a:off x="1972851" y="1012522"/>
          <a:ext cx="1811054" cy="287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5A94A2C-19B1-46B8-AA2D-438FF9206702}" type="TxLink">
            <a:rPr lang="en-US" sz="1100" b="1" i="0" u="none" strike="noStrike">
              <a:solidFill>
                <a:schemeClr val="bg1"/>
              </a:solidFill>
              <a:latin typeface="Calibri"/>
              <a:ea typeface="Calibri"/>
              <a:cs typeface="Calibri"/>
            </a:rPr>
            <a:pPr algn="ctr"/>
            <a:t>36.32</a:t>
          </a:fld>
          <a:endParaRPr lang="en-US" sz="2400" b="1">
            <a:solidFill>
              <a:schemeClr val="bg1"/>
            </a:solidFill>
          </a:endParaRPr>
        </a:p>
      </xdr:txBody>
    </xdr:sp>
    <xdr:clientData/>
  </xdr:twoCellAnchor>
  <xdr:twoCellAnchor editAs="absolute">
    <xdr:from>
      <xdr:col>5</xdr:col>
      <xdr:colOff>490605</xdr:colOff>
      <xdr:row>5</xdr:row>
      <xdr:rowOff>88727</xdr:rowOff>
    </xdr:from>
    <xdr:to>
      <xdr:col>8</xdr:col>
      <xdr:colOff>469727</xdr:colOff>
      <xdr:row>6</xdr:row>
      <xdr:rowOff>174321</xdr:rowOff>
    </xdr:to>
    <xdr:sp macro="" textlink="'Pivot Report'!A18">
      <xdr:nvSpPr>
        <xdr:cNvPr id="43" name="TextBox 42">
          <a:extLst>
            <a:ext uri="{FF2B5EF4-FFF2-40B4-BE49-F238E27FC236}">
              <a16:creationId xmlns:a16="http://schemas.microsoft.com/office/drawing/2014/main" id="{FA02B0D6-7369-9B1E-E115-F000058C05C7}"/>
            </a:ext>
          </a:extLst>
        </xdr:cNvPr>
        <xdr:cNvSpPr txBox="1"/>
      </xdr:nvSpPr>
      <xdr:spPr>
        <a:xfrm>
          <a:off x="3543824" y="1002083"/>
          <a:ext cx="1811054" cy="268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9090377-D8CB-45B5-A2CF-A64C3C00EB89}" type="TxLink">
            <a:rPr lang="en-US" sz="1100" b="1" i="0" u="none" strike="noStrike">
              <a:solidFill>
                <a:schemeClr val="bg1"/>
              </a:solidFill>
              <a:latin typeface="Calibri"/>
              <a:ea typeface="Calibri"/>
              <a:cs typeface="Calibri"/>
            </a:rPr>
            <a:pPr algn="ctr"/>
            <a:t>4.96</a:t>
          </a:fld>
          <a:endParaRPr lang="en-US" sz="2400" b="1">
            <a:solidFill>
              <a:schemeClr val="bg1"/>
            </a:solidFill>
          </a:endParaRPr>
        </a:p>
      </xdr:txBody>
    </xdr:sp>
    <xdr:clientData/>
  </xdr:twoCellAnchor>
  <xdr:twoCellAnchor editAs="oneCell">
    <xdr:from>
      <xdr:col>1</xdr:col>
      <xdr:colOff>287056</xdr:colOff>
      <xdr:row>4</xdr:row>
      <xdr:rowOff>57411</xdr:rowOff>
    </xdr:from>
    <xdr:to>
      <xdr:col>2</xdr:col>
      <xdr:colOff>135698</xdr:colOff>
      <xdr:row>6</xdr:row>
      <xdr:rowOff>99165</xdr:rowOff>
    </xdr:to>
    <xdr:pic>
      <xdr:nvPicPr>
        <xdr:cNvPr id="46" name="Graphic 45" descr="Stethoscope with solid fill">
          <a:extLst>
            <a:ext uri="{FF2B5EF4-FFF2-40B4-BE49-F238E27FC236}">
              <a16:creationId xmlns:a16="http://schemas.microsoft.com/office/drawing/2014/main" id="{AD512EAE-B050-E84F-5D6B-5794330DEB4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97700" y="788096"/>
          <a:ext cx="459286" cy="407096"/>
        </a:xfrm>
        <a:prstGeom prst="rect">
          <a:avLst/>
        </a:prstGeom>
      </xdr:spPr>
    </xdr:pic>
    <xdr:clientData/>
  </xdr:twoCellAnchor>
  <xdr:twoCellAnchor editAs="absolute">
    <xdr:from>
      <xdr:col>6</xdr:col>
      <xdr:colOff>187891</xdr:colOff>
      <xdr:row>7</xdr:row>
      <xdr:rowOff>31315</xdr:rowOff>
    </xdr:from>
    <xdr:to>
      <xdr:col>8</xdr:col>
      <xdr:colOff>104383</xdr:colOff>
      <xdr:row>9</xdr:row>
      <xdr:rowOff>0</xdr:rowOff>
    </xdr:to>
    <xdr:sp macro="" textlink="">
      <xdr:nvSpPr>
        <xdr:cNvPr id="44" name="TextBox 43">
          <a:extLst>
            <a:ext uri="{FF2B5EF4-FFF2-40B4-BE49-F238E27FC236}">
              <a16:creationId xmlns:a16="http://schemas.microsoft.com/office/drawing/2014/main" id="{35318DE0-1042-7C47-5F11-8B5591144D52}"/>
            </a:ext>
          </a:extLst>
        </xdr:cNvPr>
        <xdr:cNvSpPr txBox="1"/>
      </xdr:nvSpPr>
      <xdr:spPr>
        <a:xfrm>
          <a:off x="3851754" y="1310014"/>
          <a:ext cx="1137780" cy="334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1">
              <a:solidFill>
                <a:schemeClr val="bg1"/>
              </a:solidFill>
            </a:rPr>
            <a:t>Patient</a:t>
          </a:r>
          <a:r>
            <a:rPr lang="en-US" sz="900" b="1" baseline="0">
              <a:solidFill>
                <a:schemeClr val="bg1"/>
              </a:solidFill>
            </a:rPr>
            <a:t> Satisfaction Score</a:t>
          </a:r>
          <a:endParaRPr lang="en-US" sz="900" b="1">
            <a:solidFill>
              <a:schemeClr val="bg1"/>
            </a:solidFill>
          </a:endParaRPr>
        </a:p>
      </xdr:txBody>
    </xdr:sp>
    <xdr:clientData/>
  </xdr:twoCellAnchor>
  <xdr:twoCellAnchor editAs="oneCell">
    <xdr:from>
      <xdr:col>6</xdr:col>
      <xdr:colOff>239038</xdr:colOff>
      <xdr:row>4</xdr:row>
      <xdr:rowOff>93945</xdr:rowOff>
    </xdr:from>
    <xdr:to>
      <xdr:col>6</xdr:col>
      <xdr:colOff>583504</xdr:colOff>
      <xdr:row>6</xdr:row>
      <xdr:rowOff>73069</xdr:rowOff>
    </xdr:to>
    <xdr:pic>
      <xdr:nvPicPr>
        <xdr:cNvPr id="48" name="Graphic 47" descr="Customer review with solid fill">
          <a:extLst>
            <a:ext uri="{FF2B5EF4-FFF2-40B4-BE49-F238E27FC236}">
              <a16:creationId xmlns:a16="http://schemas.microsoft.com/office/drawing/2014/main" id="{3801EBB6-BB8A-A7B2-9AE2-6EFE876B6E6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02901" y="824630"/>
          <a:ext cx="344466" cy="344466"/>
        </a:xfrm>
        <a:prstGeom prst="rect">
          <a:avLst/>
        </a:prstGeom>
      </xdr:spPr>
    </xdr:pic>
    <xdr:clientData/>
  </xdr:twoCellAnchor>
  <xdr:twoCellAnchor editAs="oneCell">
    <xdr:from>
      <xdr:col>3</xdr:col>
      <xdr:colOff>401879</xdr:colOff>
      <xdr:row>4</xdr:row>
      <xdr:rowOff>73068</xdr:rowOff>
    </xdr:from>
    <xdr:to>
      <xdr:col>4</xdr:col>
      <xdr:colOff>199376</xdr:colOff>
      <xdr:row>6</xdr:row>
      <xdr:rowOff>115866</xdr:rowOff>
    </xdr:to>
    <xdr:pic>
      <xdr:nvPicPr>
        <xdr:cNvPr id="50" name="Graphic 49" descr="Hourglass Finished with solid fill">
          <a:extLst>
            <a:ext uri="{FF2B5EF4-FFF2-40B4-BE49-F238E27FC236}">
              <a16:creationId xmlns:a16="http://schemas.microsoft.com/office/drawing/2014/main" id="{4B5D0499-4D6C-7CAB-CE2A-2B08462BB29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33811" y="803753"/>
          <a:ext cx="408140" cy="408140"/>
        </a:xfrm>
        <a:prstGeom prst="rect">
          <a:avLst/>
        </a:prstGeom>
      </xdr:spPr>
    </xdr:pic>
    <xdr:clientData/>
  </xdr:twoCellAnchor>
  <xdr:twoCellAnchor editAs="absolute">
    <xdr:from>
      <xdr:col>0</xdr:col>
      <xdr:colOff>10438</xdr:colOff>
      <xdr:row>4</xdr:row>
      <xdr:rowOff>0</xdr:rowOff>
    </xdr:from>
    <xdr:to>
      <xdr:col>1</xdr:col>
      <xdr:colOff>155794</xdr:colOff>
      <xdr:row>17</xdr:row>
      <xdr:rowOff>181274</xdr:rowOff>
    </xdr:to>
    <mc:AlternateContent xmlns:mc="http://schemas.openxmlformats.org/markup-compatibility/2006" xmlns:a14="http://schemas.microsoft.com/office/drawing/2010/main">
      <mc:Choice Requires="a14">
        <xdr:graphicFrame macro="">
          <xdr:nvGraphicFramePr>
            <xdr:cNvPr id="4" name="Date (Month)">
              <a:extLst>
                <a:ext uri="{FF2B5EF4-FFF2-40B4-BE49-F238E27FC236}">
                  <a16:creationId xmlns:a16="http://schemas.microsoft.com/office/drawing/2014/main" id="{53A683B8-91CD-4F11-8846-0905210449C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438" y="730685"/>
              <a:ext cx="756000" cy="255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250520</xdr:colOff>
      <xdr:row>5</xdr:row>
      <xdr:rowOff>167013</xdr:rowOff>
    </xdr:from>
    <xdr:to>
      <xdr:col>3</xdr:col>
      <xdr:colOff>605424</xdr:colOff>
      <xdr:row>9</xdr:row>
      <xdr:rowOff>181313</xdr:rowOff>
    </xdr:to>
    <xdr:graphicFrame macro="">
      <xdr:nvGraphicFramePr>
        <xdr:cNvPr id="11" name="Chart 10">
          <a:hlinkClick xmlns:r="http://schemas.openxmlformats.org/officeDocument/2006/relationships" r:id="rId8"/>
          <a:extLst>
            <a:ext uri="{FF2B5EF4-FFF2-40B4-BE49-F238E27FC236}">
              <a16:creationId xmlns:a16="http://schemas.microsoft.com/office/drawing/2014/main" id="{5B4D538E-8A0D-47FA-862B-78263CDAC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344464</xdr:colOff>
      <xdr:row>8</xdr:row>
      <xdr:rowOff>67849</xdr:rowOff>
    </xdr:from>
    <xdr:to>
      <xdr:col>5</xdr:col>
      <xdr:colOff>589766</xdr:colOff>
      <xdr:row>10</xdr:row>
      <xdr:rowOff>99165</xdr:rowOff>
    </xdr:to>
    <xdr:graphicFrame macro="">
      <xdr:nvGraphicFramePr>
        <xdr:cNvPr id="14" name="Chart 13">
          <a:hlinkClick xmlns:r="http://schemas.openxmlformats.org/officeDocument/2006/relationships" r:id="rId10"/>
          <a:extLst>
            <a:ext uri="{FF2B5EF4-FFF2-40B4-BE49-F238E27FC236}">
              <a16:creationId xmlns:a16="http://schemas.microsoft.com/office/drawing/2014/main" id="{36C4D6DF-5F19-4D8F-B7D5-8C6AA296A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62631</xdr:colOff>
      <xdr:row>5</xdr:row>
      <xdr:rowOff>167014</xdr:rowOff>
    </xdr:from>
    <xdr:to>
      <xdr:col>8</xdr:col>
      <xdr:colOff>234865</xdr:colOff>
      <xdr:row>10</xdr:row>
      <xdr:rowOff>46973</xdr:rowOff>
    </xdr:to>
    <xdr:graphicFrame macro="">
      <xdr:nvGraphicFramePr>
        <xdr:cNvPr id="15" name="Chart 14">
          <a:hlinkClick xmlns:r="http://schemas.openxmlformats.org/officeDocument/2006/relationships" r:id="rId12"/>
          <a:extLst>
            <a:ext uri="{FF2B5EF4-FFF2-40B4-BE49-F238E27FC236}">
              <a16:creationId xmlns:a16="http://schemas.microsoft.com/office/drawing/2014/main" id="{0A63997D-990C-4050-95B9-2D0C662A1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313150</xdr:colOff>
          <xdr:row>10</xdr:row>
          <xdr:rowOff>5219</xdr:rowOff>
        </xdr:from>
        <xdr:to>
          <xdr:col>8</xdr:col>
          <xdr:colOff>146136</xdr:colOff>
          <xdr:row>12</xdr:row>
          <xdr:rowOff>93945</xdr:rowOff>
        </xdr:to>
        <xdr:pic>
          <xdr:nvPicPr>
            <xdr:cNvPr id="23" name="Picture 22">
              <a:extLst>
                <a:ext uri="{FF2B5EF4-FFF2-40B4-BE49-F238E27FC236}">
                  <a16:creationId xmlns:a16="http://schemas.microsoft.com/office/drawing/2014/main" id="{7ED61940-78CA-82D5-B6BC-26DD3949B01C}"/>
                </a:ext>
              </a:extLst>
            </xdr:cNvPr>
            <xdr:cNvPicPr>
              <a:picLocks noChangeAspect="1" noChangeArrowheads="1"/>
              <a:extLst>
                <a:ext uri="{84589F7E-364E-4C9E-8A38-B11213B215E9}">
                  <a14:cameraTool cellRange="'Pivot Report'!$B$43:$F$45" spid="_x0000_s1053"/>
                </a:ext>
              </a:extLst>
            </xdr:cNvPicPr>
          </xdr:nvPicPr>
          <xdr:blipFill>
            <a:blip xmlns:r="http://schemas.openxmlformats.org/officeDocument/2006/relationships" r:embed="rId14"/>
            <a:srcRect/>
            <a:stretch>
              <a:fillRect/>
            </a:stretch>
          </xdr:blipFill>
          <xdr:spPr bwMode="auto">
            <a:xfrm>
              <a:off x="923794" y="1831931"/>
              <a:ext cx="4107493" cy="45406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editAs="absolute">
    <xdr:from>
      <xdr:col>1</xdr:col>
      <xdr:colOff>260959</xdr:colOff>
      <xdr:row>12</xdr:row>
      <xdr:rowOff>114822</xdr:rowOff>
    </xdr:from>
    <xdr:to>
      <xdr:col>8</xdr:col>
      <xdr:colOff>130479</xdr:colOff>
      <xdr:row>18</xdr:row>
      <xdr:rowOff>26096</xdr:rowOff>
    </xdr:to>
    <xdr:graphicFrame macro="">
      <xdr:nvGraphicFramePr>
        <xdr:cNvPr id="12" name="Chart 11">
          <a:extLst>
            <a:ext uri="{FF2B5EF4-FFF2-40B4-BE49-F238E27FC236}">
              <a16:creationId xmlns:a16="http://schemas.microsoft.com/office/drawing/2014/main" id="{1A586D00-40E6-448A-87F4-B2D855C29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219205</xdr:colOff>
      <xdr:row>17</xdr:row>
      <xdr:rowOff>78290</xdr:rowOff>
    </xdr:from>
    <xdr:to>
      <xdr:col>5</xdr:col>
      <xdr:colOff>328809</xdr:colOff>
      <xdr:row>18</xdr:row>
      <xdr:rowOff>163884</xdr:rowOff>
    </xdr:to>
    <xdr:sp macro="" textlink="">
      <xdr:nvSpPr>
        <xdr:cNvPr id="18" name="TextBox 17">
          <a:extLst>
            <a:ext uri="{FF2B5EF4-FFF2-40B4-BE49-F238E27FC236}">
              <a16:creationId xmlns:a16="http://schemas.microsoft.com/office/drawing/2014/main" id="{2C02450B-C67C-404A-9DC9-A7401B893BEB}"/>
            </a:ext>
          </a:extLst>
        </xdr:cNvPr>
        <xdr:cNvSpPr txBox="1"/>
      </xdr:nvSpPr>
      <xdr:spPr>
        <a:xfrm>
          <a:off x="2051137" y="3183701"/>
          <a:ext cx="1330891" cy="268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1">
              <a:solidFill>
                <a:schemeClr val="tx1"/>
              </a:solidFill>
            </a:rPr>
            <a:t>      No</a:t>
          </a:r>
          <a:r>
            <a:rPr lang="en-US" sz="900" b="1" baseline="0">
              <a:solidFill>
                <a:schemeClr val="tx1"/>
              </a:solidFill>
            </a:rPr>
            <a:t> of Patients by Age Group</a:t>
          </a:r>
          <a:endParaRPr lang="en-US" sz="900" b="1">
            <a:solidFill>
              <a:schemeClr val="tx1"/>
            </a:solidFill>
          </a:endParaRPr>
        </a:p>
      </xdr:txBody>
    </xdr:sp>
    <xdr:clientData/>
  </xdr:twoCellAnchor>
  <xdr:twoCellAnchor>
    <xdr:from>
      <xdr:col>8</xdr:col>
      <xdr:colOff>250520</xdr:colOff>
      <xdr:row>0</xdr:row>
      <xdr:rowOff>10440</xdr:rowOff>
    </xdr:from>
    <xdr:to>
      <xdr:col>10</xdr:col>
      <xdr:colOff>396658</xdr:colOff>
      <xdr:row>7</xdr:row>
      <xdr:rowOff>10439</xdr:rowOff>
    </xdr:to>
    <xdr:graphicFrame macro="">
      <xdr:nvGraphicFramePr>
        <xdr:cNvPr id="20" name="Chart 19">
          <a:extLst>
            <a:ext uri="{FF2B5EF4-FFF2-40B4-BE49-F238E27FC236}">
              <a16:creationId xmlns:a16="http://schemas.microsoft.com/office/drawing/2014/main" id="{CD7EA133-72E6-4193-95C5-8641EE5A7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146136</xdr:colOff>
      <xdr:row>5</xdr:row>
      <xdr:rowOff>120042</xdr:rowOff>
    </xdr:from>
    <xdr:to>
      <xdr:col>9</xdr:col>
      <xdr:colOff>600205</xdr:colOff>
      <xdr:row>7</xdr:row>
      <xdr:rowOff>22964</xdr:rowOff>
    </xdr:to>
    <xdr:sp macro="" textlink="">
      <xdr:nvSpPr>
        <xdr:cNvPr id="21" name="TextBox 20">
          <a:extLst>
            <a:ext uri="{FF2B5EF4-FFF2-40B4-BE49-F238E27FC236}">
              <a16:creationId xmlns:a16="http://schemas.microsoft.com/office/drawing/2014/main" id="{0359AA32-0910-4768-9F50-59ED11A5C512}"/>
            </a:ext>
          </a:extLst>
        </xdr:cNvPr>
        <xdr:cNvSpPr txBox="1"/>
      </xdr:nvSpPr>
      <xdr:spPr>
        <a:xfrm>
          <a:off x="5031287" y="1033398"/>
          <a:ext cx="1064713" cy="268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b="1">
              <a:solidFill>
                <a:schemeClr val="tx1"/>
              </a:solidFill>
            </a:rPr>
            <a:t>      Patient</a:t>
          </a:r>
          <a:r>
            <a:rPr lang="en-US" sz="800" b="1" baseline="0">
              <a:solidFill>
                <a:schemeClr val="tx1"/>
              </a:solidFill>
            </a:rPr>
            <a:t> Attended Status</a:t>
          </a:r>
          <a:endParaRPr lang="en-US" sz="800" b="1">
            <a:solidFill>
              <a:schemeClr val="tx1"/>
            </a:solidFill>
          </a:endParaRPr>
        </a:p>
      </xdr:txBody>
    </xdr:sp>
    <xdr:clientData/>
  </xdr:twoCellAnchor>
  <xdr:twoCellAnchor>
    <xdr:from>
      <xdr:col>10</xdr:col>
      <xdr:colOff>427973</xdr:colOff>
      <xdr:row>0</xdr:row>
      <xdr:rowOff>10438</xdr:rowOff>
    </xdr:from>
    <xdr:to>
      <xdr:col>12</xdr:col>
      <xdr:colOff>469726</xdr:colOff>
      <xdr:row>7</xdr:row>
      <xdr:rowOff>36535</xdr:rowOff>
    </xdr:to>
    <xdr:graphicFrame macro="">
      <xdr:nvGraphicFramePr>
        <xdr:cNvPr id="22" name="Chart 21">
          <a:extLst>
            <a:ext uri="{FF2B5EF4-FFF2-40B4-BE49-F238E27FC236}">
              <a16:creationId xmlns:a16="http://schemas.microsoft.com/office/drawing/2014/main" id="{8727D9EC-4988-44EC-9871-65B892656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198120</xdr:colOff>
          <xdr:row>9</xdr:row>
          <xdr:rowOff>129540</xdr:rowOff>
        </xdr:from>
        <xdr:to>
          <xdr:col>8</xdr:col>
          <xdr:colOff>220980</xdr:colOff>
          <xdr:row>13</xdr:row>
          <xdr:rowOff>30480</xdr:rowOff>
        </xdr:to>
        <xdr:pic>
          <xdr:nvPicPr>
            <xdr:cNvPr id="1045" name="Picture 22">
              <a:extLst>
                <a:ext uri="{FF2B5EF4-FFF2-40B4-BE49-F238E27FC236}">
                  <a16:creationId xmlns:a16="http://schemas.microsoft.com/office/drawing/2014/main" id="{1542E71D-158A-0A2A-8719-7A5CF7508691}"/>
                </a:ext>
              </a:extLst>
            </xdr:cNvPr>
            <xdr:cNvPicPr>
              <a:picLocks noChangeAspect="1" noChangeArrowheads="1"/>
              <a:extLst>
                <a:ext uri="{84589F7E-364E-4C9E-8A38-B11213B215E9}">
                  <a14:cameraTool cellRange="'Pivot Report'!$B$43:$F$45" spid="_x0000_s1054"/>
                </a:ext>
              </a:extLst>
            </xdr:cNvPicPr>
          </xdr:nvPicPr>
          <xdr:blipFill>
            <a:blip xmlns:r="http://schemas.openxmlformats.org/officeDocument/2006/relationships" r:embed="rId14"/>
            <a:srcRect/>
            <a:stretch>
              <a:fillRect/>
            </a:stretch>
          </xdr:blipFill>
          <xdr:spPr bwMode="auto">
            <a:xfrm>
              <a:off x="807720" y="1775460"/>
              <a:ext cx="4290060" cy="6324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99060</xdr:colOff>
      <xdr:row>21</xdr:row>
      <xdr:rowOff>76200</xdr:rowOff>
    </xdr:to>
    <xdr:graphicFrame macro="">
      <xdr:nvGraphicFramePr>
        <xdr:cNvPr id="2" name="Chart 1">
          <a:extLst>
            <a:ext uri="{FF2B5EF4-FFF2-40B4-BE49-F238E27FC236}">
              <a16:creationId xmlns:a16="http://schemas.microsoft.com/office/drawing/2014/main" id="{7A12342E-FB4C-48E8-B58C-3184465E8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0.00486</cdr:x>
      <cdr:y>0.01297</cdr:y>
    </cdr:from>
    <cdr:to>
      <cdr:x>0.04319</cdr:x>
      <cdr:y>0.11537</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F1521E0-20FD-4981-71A1-471C026A996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01052" cy="401052"/>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154691</xdr:colOff>
      <xdr:row>13</xdr:row>
      <xdr:rowOff>144780</xdr:rowOff>
    </xdr:to>
    <xdr:graphicFrame macro="">
      <xdr:nvGraphicFramePr>
        <xdr:cNvPr id="2" name="Chart 1">
          <a:extLst>
            <a:ext uri="{FF2B5EF4-FFF2-40B4-BE49-F238E27FC236}">
              <a16:creationId xmlns:a16="http://schemas.microsoft.com/office/drawing/2014/main" id="{ED4ECBE4-0955-4D52-B01C-6C9EEB07D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0.0092</cdr:x>
      <cdr:y>0.03399</cdr:y>
    </cdr:from>
    <cdr:to>
      <cdr:x>0.0736</cdr:x>
      <cdr:y>0.19263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EC6D66C-9EB3-34D4-3B33-F253DD2DA73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7295" y="85941"/>
          <a:ext cx="401052" cy="401052"/>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114300</xdr:colOff>
      <xdr:row>22</xdr:row>
      <xdr:rowOff>99060</xdr:rowOff>
    </xdr:to>
    <xdr:graphicFrame macro="">
      <xdr:nvGraphicFramePr>
        <xdr:cNvPr id="2" name="Chart 1">
          <a:extLst>
            <a:ext uri="{FF2B5EF4-FFF2-40B4-BE49-F238E27FC236}">
              <a16:creationId xmlns:a16="http://schemas.microsoft.com/office/drawing/2014/main" id="{5CBAAD2D-899C-4274-B909-470EF7843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0.00515</cdr:x>
      <cdr:y>0.01232</cdr:y>
    </cdr:from>
    <cdr:to>
      <cdr:x>0.04579</cdr:x>
      <cdr:y>0.10961</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F482C4A-191D-3EE2-5624-F52F1423944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01052" cy="401052"/>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Patel" refreshedDate="46079.323724884256" createdVersion="5" refreshedVersion="8" minRefreshableVersion="3" recordCount="0" supportSubquery="1" supportAdvancedDrill="1" xr:uid="{0C4AE41B-1C7B-424B-AC00-2EF7F3B5714C}">
  <cacheSource type="external" connectionId="3"/>
  <cacheFields count="3">
    <cacheField name="[Measures].[Distinct Count of Patient Id]" caption="Distinct Count of Patient Id" numFmtId="0" hierarchy="25" level="32767"/>
    <cacheField name="[Dates_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1-Nov" u="1"/>
      </sharedItems>
    </cacheField>
    <cacheField name="[Dates_Table].[Date (Month)].[Date (Month)]" caption="Date (Month)" numFmtId="0" hierarchy="1" level="1">
      <sharedItems containsSemiMixedTypes="0" containsNonDate="0" containsString="0"/>
    </cacheField>
  </cacheFields>
  <cacheHierarchies count="30">
    <cacheHierarchy uniqueName="[Dates_Table].[Date]" caption="Date" attribute="1" time="1" defaultMemberUniqueName="[Dates_Table].[Date].[All]" allUniqueName="[Dates_Table].[Date].[All]" dimensionUniqueName="[Dates_Table]" displayFolder="" count="0" memberValueDatatype="7" unbalanced="0"/>
    <cacheHierarchy uniqueName="[Dates_Table].[Date (Month)]" caption="Date (Month)" attribute="1" defaultMemberUniqueName="[Dates_Table].[Date (Month)].[All]" allUniqueName="[Dates_Table].[Date (Month)].[All]" dimensionUniqueName="[Dates_Table]" displayFolder="" count="2" memberValueDatatype="130" unbalanced="0">
      <fieldsUsage count="2">
        <fieldUsage x="-1"/>
        <fieldUsage x="2"/>
      </fieldsUsage>
    </cacheHierarchy>
    <cacheHierarchy uniqueName="[Dates_Table].[Date (Day)]" caption="Date (Day)" attribute="1" defaultMemberUniqueName="[Dates_Table].[Date (Day)].[All]" allUniqueName="[Dates_Table].[Date (Day)].[All]" dimensionUniqueName="[Dates_Table]" displayFolder="" count="2" memberValueDatatype="130" unbalanced="0">
      <fieldsUsage count="2">
        <fieldUsage x="-1"/>
        <fieldUsage x="1"/>
      </fieldsUsage>
    </cacheHierarchy>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Name]" caption="FullName" attribute="1" defaultMemberUniqueName="[Hospital Emergency Room Data  2].[FullName].[All]" allUniqueName="[Hospital Emergency Room Data  2].[Full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Waittime Status]" caption="Patient Waittime Status" attribute="1" defaultMemberUniqueName="[Hospital Emergency Room Data  2].[Patient Waittime Status].[All]" allUniqueName="[Hospital Emergency Room Data  2].[Patient Waittime Status].[All]" dimensionUniqueName="[Hospital Emergency Room Data  2]" displayFolder="" count="0" memberValueDatatype="130" unbalanced="0"/>
    <cacheHierarchy uniqueName="[Hospital Emergency Room Data  2].[Patient Age Status]" caption="Patient Age Status" attribute="1" defaultMemberUniqueName="[Hospital Emergency Room Data  2].[Patient Age Status].[All]" allUniqueName="[Hospital Emergency Room Data  2].[Patient Age Status].[All]" dimensionUniqueName="[Hospital Emergency Room Data  2]" displayFolder="" count="0" memberValueDatatype="130" unbalanced="0"/>
    <cacheHierarchy uniqueName="[Dates_Table].[Date (Day Index)]" caption="Date (Day Index)" attribute="1" defaultMemberUniqueName="[Dates_Table].[Date (Day Index)].[All]" allUniqueName="[Dates_Table].[Date (Day Index)].[All]" dimensionUniqueName="[Dates_Table]" displayFolder="" count="0" memberValueDatatype="5" unbalanced="0" hidden="1"/>
    <cacheHierarchy uniqueName="[Dates_Table].[Date (Month Index)]" caption="Date (Month Index)" attribute="1" defaultMemberUniqueName="[Dates_Table].[Date (Month Index)].[All]" allUniqueName="[Dates_Table].[Date (Month Index)].[All]" dimensionUniqueName="[Dates_Table]" displayFolder="" count="0" memberValueDatatype="20" unbalanced="0" hidden="1"/>
    <cacheHierarchy uniqueName="[Measures].[__XL_Count Dates_Table]" caption="__XL_Count Dates_Table" measure="1" displayFolder="" measureGroup="Dates_Table"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3"/>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ge Status]" caption="Count of Patient Age Status"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Waittime Status]" caption="Count of Patient Waittime Status" measure="1" displayFolder="" measureGroup="Hospital Emergency Room Data  2" count="0" hidden="1">
      <extLst>
        <ext xmlns:x15="http://schemas.microsoft.com/office/spreadsheetml/2010/11/main" uri="{B97F6D7D-B522-45F9-BDA1-12C45D357490}">
          <x15:cacheHierarchy aggregatedColumn="14"/>
        </ext>
      </extLst>
    </cacheHierarchy>
  </cacheHierarchies>
  <kpis count="0"/>
  <dimensions count="3">
    <dimension name="Dates_Table" uniqueName="[Dates_Table]" caption="Dates_Table"/>
    <dimension name="Hospital Emergency Room Data  2" uniqueName="[Hospital Emergency Room Data  2]" caption="Hospital Emergency Room Data  2"/>
    <dimension measure="1" name="Measures" uniqueName="[Measures]" caption="Measures"/>
  </dimensions>
  <measureGroups count="2">
    <measureGroup name="Dates_Table" caption="Dates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Patel" refreshedDate="46079.323727546296" createdVersion="5" refreshedVersion="8" minRefreshableVersion="3" recordCount="0" supportSubquery="1" supportAdvancedDrill="1" xr:uid="{B635785A-CA6A-4EB9-9EAF-CCD858771FF8}">
  <cacheSource type="external" connectionId="3"/>
  <cacheFields count="2">
    <cacheField name="[Measures].[Distinct Count of Patient Id]" caption="Distinct Count of Patient Id" numFmtId="0" hierarchy="25" level="32767"/>
    <cacheField name="[Dates_Table].[Date (Month)].[Date (Month)]" caption="Date (Month)" numFmtId="0" hierarchy="1" level="1">
      <sharedItems containsSemiMixedTypes="0" containsNonDate="0" containsString="0"/>
    </cacheField>
  </cacheFields>
  <cacheHierarchies count="30">
    <cacheHierarchy uniqueName="[Dates_Table].[Date]" caption="Date" attribute="1" time="1" defaultMemberUniqueName="[Dates_Table].[Date].[All]" allUniqueName="[Dates_Table].[Date].[All]" dimensionUniqueName="[Dates_Table]" displayFolder="" count="0" memberValueDatatype="7" unbalanced="0"/>
    <cacheHierarchy uniqueName="[Dates_Table].[Date (Month)]" caption="Date (Month)" attribute="1" defaultMemberUniqueName="[Dates_Table].[Date (Month)].[All]" allUniqueName="[Dates_Table].[Date (Month)].[All]" dimensionUniqueName="[Dates_Table]" displayFolder="" count="2" memberValueDatatype="130" unbalanced="0">
      <fieldsUsage count="2">
        <fieldUsage x="-1"/>
        <fieldUsage x="1"/>
      </fieldsUsage>
    </cacheHierarchy>
    <cacheHierarchy uniqueName="[Dates_Table].[Date (Day)]" caption="Date (Day)" attribute="1" defaultMemberUniqueName="[Dates_Table].[Date (Day)].[All]" allUniqueName="[Dates_Table].[Date (Day)].[All]" dimensionUniqueName="[Dates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Name]" caption="FullName" attribute="1" defaultMemberUniqueName="[Hospital Emergency Room Data  2].[FullName].[All]" allUniqueName="[Hospital Emergency Room Data  2].[Full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Waittime Status]" caption="Patient Waittime Status" attribute="1" defaultMemberUniqueName="[Hospital Emergency Room Data  2].[Patient Waittime Status].[All]" allUniqueName="[Hospital Emergency Room Data  2].[Patient Waittime Status].[All]" dimensionUniqueName="[Hospital Emergency Room Data  2]" displayFolder="" count="0" memberValueDatatype="130" unbalanced="0"/>
    <cacheHierarchy uniqueName="[Hospital Emergency Room Data  2].[Patient Age Status]" caption="Patient Age Status" attribute="1" defaultMemberUniqueName="[Hospital Emergency Room Data  2].[Patient Age Status].[All]" allUniqueName="[Hospital Emergency Room Data  2].[Patient Age Status].[All]" dimensionUniqueName="[Hospital Emergency Room Data  2]" displayFolder="" count="0" memberValueDatatype="130" unbalanced="0"/>
    <cacheHierarchy uniqueName="[Dates_Table].[Date (Day Index)]" caption="Date (Day Index)" attribute="1" defaultMemberUniqueName="[Dates_Table].[Date (Day Index)].[All]" allUniqueName="[Dates_Table].[Date (Day Index)].[All]" dimensionUniqueName="[Dates_Table]" displayFolder="" count="0" memberValueDatatype="5" unbalanced="0" hidden="1"/>
    <cacheHierarchy uniqueName="[Dates_Table].[Date (Month Index)]" caption="Date (Month Index)" attribute="1" defaultMemberUniqueName="[Dates_Table].[Date (Month Index)].[All]" allUniqueName="[Dates_Table].[Date (Month Index)].[All]" dimensionUniqueName="[Dates_Table]" displayFolder="" count="0" memberValueDatatype="20" unbalanced="0" hidden="1"/>
    <cacheHierarchy uniqueName="[Measures].[__XL_Count Dates_Table]" caption="__XL_Count Dates_Table" measure="1" displayFolder="" measureGroup="Dates_Table"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3"/>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ge Status]" caption="Count of Patient Age Status"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Waittime Status]" caption="Count of Patient Waittime Status" measure="1" displayFolder="" measureGroup="Hospital Emergency Room Data  2" count="0" hidden="1">
      <extLst>
        <ext xmlns:x15="http://schemas.microsoft.com/office/spreadsheetml/2010/11/main" uri="{B97F6D7D-B522-45F9-BDA1-12C45D357490}">
          <x15:cacheHierarchy aggregatedColumn="14"/>
        </ext>
      </extLst>
    </cacheHierarchy>
  </cacheHierarchies>
  <kpis count="0"/>
  <dimensions count="3">
    <dimension name="Dates_Table" uniqueName="[Dates_Table]" caption="Dates_Table"/>
    <dimension name="Hospital Emergency Room Data  2" uniqueName="[Hospital Emergency Room Data  2]" caption="Hospital Emergency Room Data  2"/>
    <dimension measure="1" name="Measures" uniqueName="[Measures]" caption="Measures"/>
  </dimensions>
  <measureGroups count="2">
    <measureGroup name="Dates_Table" caption="Dates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Patel" refreshedDate="46079.323729976852" createdVersion="5" refreshedVersion="8" minRefreshableVersion="3" recordCount="0" supportSubquery="1" supportAdvancedDrill="1" xr:uid="{DC697BCE-ABB4-4C13-8AD5-2FEE0ED8F315}">
  <cacheSource type="external" connectionId="3"/>
  <cacheFields count="2">
    <cacheField name="[Measures].[Average of Patient Waittime]" caption="Average of Patient Waittime" numFmtId="0" hierarchy="23" level="32767"/>
    <cacheField name="[Dates_Table].[Date (Month)].[Date (Month)]" caption="Date (Month)" numFmtId="0" hierarchy="1" level="1">
      <sharedItems containsSemiMixedTypes="0" containsNonDate="0" containsString="0"/>
    </cacheField>
  </cacheFields>
  <cacheHierarchies count="30">
    <cacheHierarchy uniqueName="[Dates_Table].[Date]" caption="Date" attribute="1" time="1" defaultMemberUniqueName="[Dates_Table].[Date].[All]" allUniqueName="[Dates_Table].[Date].[All]" dimensionUniqueName="[Dates_Table]" displayFolder="" count="0" memberValueDatatype="7" unbalanced="0"/>
    <cacheHierarchy uniqueName="[Dates_Table].[Date (Month)]" caption="Date (Month)" attribute="1" defaultMemberUniqueName="[Dates_Table].[Date (Month)].[All]" allUniqueName="[Dates_Table].[Date (Month)].[All]" dimensionUniqueName="[Dates_Table]" displayFolder="" count="2" memberValueDatatype="130" unbalanced="0">
      <fieldsUsage count="2">
        <fieldUsage x="-1"/>
        <fieldUsage x="1"/>
      </fieldsUsage>
    </cacheHierarchy>
    <cacheHierarchy uniqueName="[Dates_Table].[Date (Day)]" caption="Date (Day)" attribute="1" defaultMemberUniqueName="[Dates_Table].[Date (Day)].[All]" allUniqueName="[Dates_Table].[Date (Day)].[All]" dimensionUniqueName="[Dates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Name]" caption="FullName" attribute="1" defaultMemberUniqueName="[Hospital Emergency Room Data  2].[FullName].[All]" allUniqueName="[Hospital Emergency Room Data  2].[Full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Waittime Status]" caption="Patient Waittime Status" attribute="1" defaultMemberUniqueName="[Hospital Emergency Room Data  2].[Patient Waittime Status].[All]" allUniqueName="[Hospital Emergency Room Data  2].[Patient Waittime Status].[All]" dimensionUniqueName="[Hospital Emergency Room Data  2]" displayFolder="" count="0" memberValueDatatype="130" unbalanced="0"/>
    <cacheHierarchy uniqueName="[Hospital Emergency Room Data  2].[Patient Age Status]" caption="Patient Age Status" attribute="1" defaultMemberUniqueName="[Hospital Emergency Room Data  2].[Patient Age Status].[All]" allUniqueName="[Hospital Emergency Room Data  2].[Patient Age Status].[All]" dimensionUniqueName="[Hospital Emergency Room Data  2]" displayFolder="" count="0" memberValueDatatype="130" unbalanced="0"/>
    <cacheHierarchy uniqueName="[Dates_Table].[Date (Day Index)]" caption="Date (Day Index)" attribute="1" defaultMemberUniqueName="[Dates_Table].[Date (Day Index)].[All]" allUniqueName="[Dates_Table].[Date (Day Index)].[All]" dimensionUniqueName="[Dates_Table]" displayFolder="" count="0" memberValueDatatype="5" unbalanced="0" hidden="1"/>
    <cacheHierarchy uniqueName="[Dates_Table].[Date (Month Index)]" caption="Date (Month Index)" attribute="1" defaultMemberUniqueName="[Dates_Table].[Date (Month Index)].[All]" allUniqueName="[Dates_Table].[Date (Month Index)].[All]" dimensionUniqueName="[Dates_Table]" displayFolder="" count="0" memberValueDatatype="20" unbalanced="0" hidden="1"/>
    <cacheHierarchy uniqueName="[Measures].[__XL_Count Dates_Table]" caption="__XL_Count Dates_Table" measure="1" displayFolder="" measureGroup="Dates_Table"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ge Status]" caption="Count of Patient Age Status"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Waittime Status]" caption="Count of Patient Waittime Status" measure="1" displayFolder="" measureGroup="Hospital Emergency Room Data  2" count="0" hidden="1">
      <extLst>
        <ext xmlns:x15="http://schemas.microsoft.com/office/spreadsheetml/2010/11/main" uri="{B97F6D7D-B522-45F9-BDA1-12C45D357490}">
          <x15:cacheHierarchy aggregatedColumn="14"/>
        </ext>
      </extLst>
    </cacheHierarchy>
  </cacheHierarchies>
  <kpis count="0"/>
  <dimensions count="3">
    <dimension name="Dates_Table" uniqueName="[Dates_Table]" caption="Dates_Table"/>
    <dimension name="Hospital Emergency Room Data  2" uniqueName="[Hospital Emergency Room Data  2]" caption="Hospital Emergency Room Data  2"/>
    <dimension measure="1" name="Measures" uniqueName="[Measures]" caption="Measures"/>
  </dimensions>
  <measureGroups count="2">
    <measureGroup name="Dates_Table" caption="Dates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Patel" refreshedDate="46079.323734953701" createdVersion="5" refreshedVersion="8" minRefreshableVersion="3" recordCount="0" supportSubquery="1" supportAdvancedDrill="1" xr:uid="{26FAAA99-62A5-464F-A451-3952FAD5C3FD}">
  <cacheSource type="external" connectionId="3"/>
  <cacheFields count="2">
    <cacheField name="[Measures].[Average of Patient Satisfaction Score]" caption="Average of Patient Satisfaction Score" numFmtId="0" hierarchy="26" level="32767"/>
    <cacheField name="[Dates_Table].[Date (Month)].[Date (Month)]" caption="Date (Month)" numFmtId="0" hierarchy="1" level="1">
      <sharedItems containsSemiMixedTypes="0" containsNonDate="0" containsString="0"/>
    </cacheField>
  </cacheFields>
  <cacheHierarchies count="30">
    <cacheHierarchy uniqueName="[Dates_Table].[Date]" caption="Date" attribute="1" time="1" defaultMemberUniqueName="[Dates_Table].[Date].[All]" allUniqueName="[Dates_Table].[Date].[All]" dimensionUniqueName="[Dates_Table]" displayFolder="" count="0" memberValueDatatype="7" unbalanced="0"/>
    <cacheHierarchy uniqueName="[Dates_Table].[Date (Month)]" caption="Date (Month)" attribute="1" defaultMemberUniqueName="[Dates_Table].[Date (Month)].[All]" allUniqueName="[Dates_Table].[Date (Month)].[All]" dimensionUniqueName="[Dates_Table]" displayFolder="" count="2" memberValueDatatype="130" unbalanced="0">
      <fieldsUsage count="2">
        <fieldUsage x="-1"/>
        <fieldUsage x="1"/>
      </fieldsUsage>
    </cacheHierarchy>
    <cacheHierarchy uniqueName="[Dates_Table].[Date (Day)]" caption="Date (Day)" attribute="1" defaultMemberUniqueName="[Dates_Table].[Date (Day)].[All]" allUniqueName="[Dates_Table].[Date (Day)].[All]" dimensionUniqueName="[Dates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Name]" caption="FullName" attribute="1" defaultMemberUniqueName="[Hospital Emergency Room Data  2].[FullName].[All]" allUniqueName="[Hospital Emergency Room Data  2].[Full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Waittime Status]" caption="Patient Waittime Status" attribute="1" defaultMemberUniqueName="[Hospital Emergency Room Data  2].[Patient Waittime Status].[All]" allUniqueName="[Hospital Emergency Room Data  2].[Patient Waittime Status].[All]" dimensionUniqueName="[Hospital Emergency Room Data  2]" displayFolder="" count="0" memberValueDatatype="130" unbalanced="0"/>
    <cacheHierarchy uniqueName="[Hospital Emergency Room Data  2].[Patient Age Status]" caption="Patient Age Status" attribute="1" defaultMemberUniqueName="[Hospital Emergency Room Data  2].[Patient Age Status].[All]" allUniqueName="[Hospital Emergency Room Data  2].[Patient Age Status].[All]" dimensionUniqueName="[Hospital Emergency Room Data  2]" displayFolder="" count="0" memberValueDatatype="130" unbalanced="0"/>
    <cacheHierarchy uniqueName="[Dates_Table].[Date (Day Index)]" caption="Date (Day Index)" attribute="1" defaultMemberUniqueName="[Dates_Table].[Date (Day Index)].[All]" allUniqueName="[Dates_Table].[Date (Day Index)].[All]" dimensionUniqueName="[Dates_Table]" displayFolder="" count="0" memberValueDatatype="5" unbalanced="0" hidden="1"/>
    <cacheHierarchy uniqueName="[Dates_Table].[Date (Month Index)]" caption="Date (Month Index)" attribute="1" defaultMemberUniqueName="[Dates_Table].[Date (Month Index)].[All]" allUniqueName="[Dates_Table].[Date (Month Index)].[All]" dimensionUniqueName="[Dates_Table]" displayFolder="" count="0" memberValueDatatype="20" unbalanced="0" hidden="1"/>
    <cacheHierarchy uniqueName="[Measures].[__XL_Count Dates_Table]" caption="__XL_Count Dates_Table" measure="1" displayFolder="" measureGroup="Dates_Table"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Average of Patient Satisfaction Score]" caption="Average of Patient Satisfaction Scor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ge Status]" caption="Count of Patient Age Status"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Waittime Status]" caption="Count of Patient Waittime Status" measure="1" displayFolder="" measureGroup="Hospital Emergency Room Data  2" count="0" hidden="1">
      <extLst>
        <ext xmlns:x15="http://schemas.microsoft.com/office/spreadsheetml/2010/11/main" uri="{B97F6D7D-B522-45F9-BDA1-12C45D357490}">
          <x15:cacheHierarchy aggregatedColumn="14"/>
        </ext>
      </extLst>
    </cacheHierarchy>
  </cacheHierarchies>
  <kpis count="0"/>
  <dimensions count="3">
    <dimension name="Dates_Table" uniqueName="[Dates_Table]" caption="Dates_Table"/>
    <dimension name="Hospital Emergency Room Data  2" uniqueName="[Hospital Emergency Room Data  2]" caption="Hospital Emergency Room Data  2"/>
    <dimension measure="1" name="Measures" uniqueName="[Measures]" caption="Measures"/>
  </dimensions>
  <measureGroups count="2">
    <measureGroup name="Dates_Table" caption="Dates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Patel" refreshedDate="46079.323738425926" createdVersion="5" refreshedVersion="8" minRefreshableVersion="3" recordCount="0" supportSubquery="1" supportAdvancedDrill="1" xr:uid="{433E0C0A-CE82-457F-949E-4C23AB7FCA12}">
  <cacheSource type="external" connectionId="3"/>
  <cacheFields count="3">
    <cacheField name="[Dates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Dates_Table].[Date (Month)].[Date (Month)]" caption="Date (Month)" numFmtId="0" hierarchy="1" level="1">
      <sharedItems containsSemiMixedTypes="0" containsNonDate="0" containsString="0"/>
    </cacheField>
    <cacheField name="[Measures].[Average of Patient Waittime]" caption="Average of Patient Waittime" numFmtId="0" hierarchy="23" level="32767"/>
  </cacheFields>
  <cacheHierarchies count="30">
    <cacheHierarchy uniqueName="[Dates_Table].[Date]" caption="Date" attribute="1" time="1" defaultMemberUniqueName="[Dates_Table].[Date].[All]" allUniqueName="[Dates_Table].[Date].[All]" dimensionUniqueName="[Dates_Table]" displayFolder="" count="0" memberValueDatatype="7" unbalanced="0"/>
    <cacheHierarchy uniqueName="[Dates_Table].[Date (Month)]" caption="Date (Month)" attribute="1" defaultMemberUniqueName="[Dates_Table].[Date (Month)].[All]" allUniqueName="[Dates_Table].[Date (Month)].[All]" dimensionUniqueName="[Dates_Table]" displayFolder="" count="2" memberValueDatatype="130" unbalanced="0">
      <fieldsUsage count="2">
        <fieldUsage x="-1"/>
        <fieldUsage x="1"/>
      </fieldsUsage>
    </cacheHierarchy>
    <cacheHierarchy uniqueName="[Dates_Table].[Date (Day)]" caption="Date (Day)" attribute="1" defaultMemberUniqueName="[Dates_Table].[Date (Day)].[All]" allUniqueName="[Dates_Table].[Date (Day)].[All]" dimensionUniqueName="[Dates_Table]" displayFolder="" count="2" memberValueDatatype="130" unbalanced="0">
      <fieldsUsage count="2">
        <fieldUsage x="-1"/>
        <fieldUsage x="0"/>
      </fieldsUsage>
    </cacheHierarchy>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Name]" caption="FullName" attribute="1" defaultMemberUniqueName="[Hospital Emergency Room Data  2].[FullName].[All]" allUniqueName="[Hospital Emergency Room Data  2].[Full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Waittime Status]" caption="Patient Waittime Status" attribute="1" defaultMemberUniqueName="[Hospital Emergency Room Data  2].[Patient Waittime Status].[All]" allUniqueName="[Hospital Emergency Room Data  2].[Patient Waittime Status].[All]" dimensionUniqueName="[Hospital Emergency Room Data  2]" displayFolder="" count="0" memberValueDatatype="130" unbalanced="0"/>
    <cacheHierarchy uniqueName="[Hospital Emergency Room Data  2].[Patient Age Status]" caption="Patient Age Status" attribute="1" defaultMemberUniqueName="[Hospital Emergency Room Data  2].[Patient Age Status].[All]" allUniqueName="[Hospital Emergency Room Data  2].[Patient Age Status].[All]" dimensionUniqueName="[Hospital Emergency Room Data  2]" displayFolder="" count="0" memberValueDatatype="130" unbalanced="0"/>
    <cacheHierarchy uniqueName="[Dates_Table].[Date (Day Index)]" caption="Date (Day Index)" attribute="1" defaultMemberUniqueName="[Dates_Table].[Date (Day Index)].[All]" allUniqueName="[Dates_Table].[Date (Day Index)].[All]" dimensionUniqueName="[Dates_Table]" displayFolder="" count="0" memberValueDatatype="5" unbalanced="0" hidden="1"/>
    <cacheHierarchy uniqueName="[Dates_Table].[Date (Month Index)]" caption="Date (Month Index)" attribute="1" defaultMemberUniqueName="[Dates_Table].[Date (Month Index)].[All]" allUniqueName="[Dates_Table].[Date (Month Index)].[All]" dimensionUniqueName="[Dates_Table]" displayFolder="" count="0" memberValueDatatype="20" unbalanced="0" hidden="1"/>
    <cacheHierarchy uniqueName="[Measures].[__XL_Count Dates_Table]" caption="__XL_Count Dates_Table" measure="1" displayFolder="" measureGroup="Dates_Table"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ge Status]" caption="Count of Patient Age Status"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Waittime Status]" caption="Count of Patient Waittime Status" measure="1" displayFolder="" measureGroup="Hospital Emergency Room Data  2" count="0" hidden="1">
      <extLst>
        <ext xmlns:x15="http://schemas.microsoft.com/office/spreadsheetml/2010/11/main" uri="{B97F6D7D-B522-45F9-BDA1-12C45D357490}">
          <x15:cacheHierarchy aggregatedColumn="14"/>
        </ext>
      </extLst>
    </cacheHierarchy>
  </cacheHierarchies>
  <kpis count="0"/>
  <dimensions count="3">
    <dimension name="Dates_Table" uniqueName="[Dates_Table]" caption="Dates_Table"/>
    <dimension name="Hospital Emergency Room Data  2" uniqueName="[Hospital Emergency Room Data  2]" caption="Hospital Emergency Room Data  2"/>
    <dimension measure="1" name="Measures" uniqueName="[Measures]" caption="Measures"/>
  </dimensions>
  <measureGroups count="2">
    <measureGroup name="Dates_Table" caption="Dates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Patel" refreshedDate="46079.323741898152" createdVersion="5" refreshedVersion="8" minRefreshableVersion="3" recordCount="0" supportSubquery="1" supportAdvancedDrill="1" xr:uid="{15C26B42-38B8-4611-AA87-4BEE69D0AE40}">
  <cacheSource type="external" connectionId="3"/>
  <cacheFields count="4">
    <cacheField name="[Dates_Table].[Date (Month)].[Date (Month)]" caption="Date (Month)" numFmtId="0" hierarchy="1" level="1">
      <sharedItems containsSemiMixedTypes="0" containsNonDate="0" containsString="0"/>
    </cacheField>
    <cacheField name="[Measures].[Count of Patient Admission Flag]" caption="Count of Patient Admission Flag" numFmtId="0" hierarchy="27" level="32767"/>
    <cacheField name="[Hospital Emergency Room Data  2].[Patient Admission Flag].[Patient Admission Flag]" caption="Patient Admission Flag" numFmtId="0" hierarchy="11" level="1">
      <sharedItems count="2">
        <s v="Admitted"/>
        <s v="Not Admitted"/>
      </sharedItems>
    </cacheField>
    <cacheField name="Unsupported0" numFmtId="0" hierarchy="30" level="32767">
      <extLst>
        <ext xmlns:x14="http://schemas.microsoft.com/office/spreadsheetml/2009/9/main" uri="{63CAB8AC-B538-458d-9737-405883B0398D}">
          <x14:cacheField ignore="1"/>
        </ext>
      </extLst>
    </cacheField>
  </cacheFields>
  <cacheHierarchies count="31">
    <cacheHierarchy uniqueName="[Dates_Table].[Date]" caption="Date" attribute="1" time="1" defaultMemberUniqueName="[Dates_Table].[Date].[All]" allUniqueName="[Dates_Table].[Date].[All]" dimensionUniqueName="[Dates_Table]" displayFolder="" count="0" memberValueDatatype="7" unbalanced="0"/>
    <cacheHierarchy uniqueName="[Dates_Table].[Date (Month)]" caption="Date (Month)" attribute="1" defaultMemberUniqueName="[Dates_Table].[Date (Month)].[All]" allUniqueName="[Dates_Table].[Date (Month)].[All]" dimensionUniqueName="[Dates_Table]" displayFolder="" count="2" memberValueDatatype="130" unbalanced="0">
      <fieldsUsage count="2">
        <fieldUsage x="-1"/>
        <fieldUsage x="0"/>
      </fieldsUsage>
    </cacheHierarchy>
    <cacheHierarchy uniqueName="[Dates_Table].[Date (Day)]" caption="Date (Day)" attribute="1" defaultMemberUniqueName="[Dates_Table].[Date (Day)].[All]" allUniqueName="[Dates_Table].[Date (Day)].[All]" dimensionUniqueName="[Dates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Name]" caption="FullName" attribute="1" defaultMemberUniqueName="[Hospital Emergency Room Data  2].[FullName].[All]" allUniqueName="[Hospital Emergency Room Data  2].[Full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fieldsUsage count="2">
        <fieldUsage x="-1"/>
        <fieldUsage x="2"/>
      </fieldsUsage>
    </cacheHierarchy>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Waittime Status]" caption="Patient Waittime Status" attribute="1" defaultMemberUniqueName="[Hospital Emergency Room Data  2].[Patient Waittime Status].[All]" allUniqueName="[Hospital Emergency Room Data  2].[Patient Waittime Status].[All]" dimensionUniqueName="[Hospital Emergency Room Data  2]" displayFolder="" count="0" memberValueDatatype="130" unbalanced="0"/>
    <cacheHierarchy uniqueName="[Hospital Emergency Room Data  2].[Patient Age Status]" caption="Patient Age Status" attribute="1" defaultMemberUniqueName="[Hospital Emergency Room Data  2].[Patient Age Status].[All]" allUniqueName="[Hospital Emergency Room Data  2].[Patient Age Status].[All]" dimensionUniqueName="[Hospital Emergency Room Data  2]" displayFolder="" count="0" memberValueDatatype="130" unbalanced="0"/>
    <cacheHierarchy uniqueName="[Dates_Table].[Date (Day Index)]" caption="Date (Day Index)" attribute="1" defaultMemberUniqueName="[Dates_Table].[Date (Day Index)].[All]" allUniqueName="[Dates_Table].[Date (Day Index)].[All]" dimensionUniqueName="[Dates_Table]" displayFolder="" count="0" memberValueDatatype="5" unbalanced="0" hidden="1"/>
    <cacheHierarchy uniqueName="[Dates_Table].[Date (Month Index)]" caption="Date (Month Index)" attribute="1" defaultMemberUniqueName="[Dates_Table].[Date (Month Index)].[All]" allUniqueName="[Dates_Table].[Date (Month Index)].[All]" dimensionUniqueName="[Dates_Table]" displayFolder="" count="0" memberValueDatatype="20" unbalanced="0" hidden="1"/>
    <cacheHierarchy uniqueName="[Measures].[__XL_Count Dates_Table]" caption="__XL_Count Dates_Table" measure="1" displayFolder="" measureGroup="Dates_Table"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atient Age Status]" caption="Count of Patient Age Status"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Waittime Status]" caption="Count of Patient Waittime Status" measure="1" displayFolder="" measureGroup="Hospital Emergency Room Data  2" count="0" hidden="1">
      <extLst>
        <ext xmlns:x15="http://schemas.microsoft.com/office/spreadsheetml/2010/11/main" uri="{B97F6D7D-B522-45F9-BDA1-12C45D357490}">
          <x15:cacheHierarchy aggregatedColumn="14"/>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Dates_Table" uniqueName="[Dates_Table]" caption="Dates_Table"/>
    <dimension name="Hospital Emergency Room Data  2" uniqueName="[Hospital Emergency Room Data  2]" caption="Hospital Emergency Room Data  2"/>
    <dimension measure="1" name="Measures" uniqueName="[Measures]" caption="Measures"/>
  </dimensions>
  <measureGroups count="2">
    <measureGroup name="Dates_Table" caption="Dates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Patel" refreshedDate="46079.323744560184" createdVersion="5" refreshedVersion="8" minRefreshableVersion="3" recordCount="0" supportSubquery="1" supportAdvancedDrill="1" xr:uid="{25CD3DED-6C65-481C-A1FE-AA2F12852FAB}">
  <cacheSource type="external" connectionId="3"/>
  <cacheFields count="3">
    <cacheField name="[Dates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Dates_Table].[Date (Month)].[Date (Month)]" caption="Date (Month)" numFmtId="0" hierarchy="1" level="1">
      <sharedItems containsSemiMixedTypes="0" containsNonDate="0" containsString="0"/>
    </cacheField>
    <cacheField name="[Measures].[Average of Patient Satisfaction Score]" caption="Average of Patient Satisfaction Score" numFmtId="0" hierarchy="26" level="32767"/>
  </cacheFields>
  <cacheHierarchies count="30">
    <cacheHierarchy uniqueName="[Dates_Table].[Date]" caption="Date" attribute="1" time="1" defaultMemberUniqueName="[Dates_Table].[Date].[All]" allUniqueName="[Dates_Table].[Date].[All]" dimensionUniqueName="[Dates_Table]" displayFolder="" count="0" memberValueDatatype="7" unbalanced="0"/>
    <cacheHierarchy uniqueName="[Dates_Table].[Date (Month)]" caption="Date (Month)" attribute="1" defaultMemberUniqueName="[Dates_Table].[Date (Month)].[All]" allUniqueName="[Dates_Table].[Date (Month)].[All]" dimensionUniqueName="[Dates_Table]" displayFolder="" count="2" memberValueDatatype="130" unbalanced="0">
      <fieldsUsage count="2">
        <fieldUsage x="-1"/>
        <fieldUsage x="1"/>
      </fieldsUsage>
    </cacheHierarchy>
    <cacheHierarchy uniqueName="[Dates_Table].[Date (Day)]" caption="Date (Day)" attribute="1" defaultMemberUniqueName="[Dates_Table].[Date (Day)].[All]" allUniqueName="[Dates_Table].[Date (Day)].[All]" dimensionUniqueName="[Dates_Table]" displayFolder="" count="2" memberValueDatatype="130" unbalanced="0">
      <fieldsUsage count="2">
        <fieldUsage x="-1"/>
        <fieldUsage x="0"/>
      </fieldsUsage>
    </cacheHierarchy>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Name]" caption="FullName" attribute="1" defaultMemberUniqueName="[Hospital Emergency Room Data  2].[FullName].[All]" allUniqueName="[Hospital Emergency Room Data  2].[Full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Waittime Status]" caption="Patient Waittime Status" attribute="1" defaultMemberUniqueName="[Hospital Emergency Room Data  2].[Patient Waittime Status].[All]" allUniqueName="[Hospital Emergency Room Data  2].[Patient Waittime Status].[All]" dimensionUniqueName="[Hospital Emergency Room Data  2]" displayFolder="" count="0" memberValueDatatype="130" unbalanced="0"/>
    <cacheHierarchy uniqueName="[Hospital Emergency Room Data  2].[Patient Age Status]" caption="Patient Age Status" attribute="1" defaultMemberUniqueName="[Hospital Emergency Room Data  2].[Patient Age Status].[All]" allUniqueName="[Hospital Emergency Room Data  2].[Patient Age Status].[All]" dimensionUniqueName="[Hospital Emergency Room Data  2]" displayFolder="" count="0" memberValueDatatype="130" unbalanced="0"/>
    <cacheHierarchy uniqueName="[Dates_Table].[Date (Day Index)]" caption="Date (Day Index)" attribute="1" defaultMemberUniqueName="[Dates_Table].[Date (Day Index)].[All]" allUniqueName="[Dates_Table].[Date (Day Index)].[All]" dimensionUniqueName="[Dates_Table]" displayFolder="" count="0" memberValueDatatype="5" unbalanced="0" hidden="1"/>
    <cacheHierarchy uniqueName="[Dates_Table].[Date (Month Index)]" caption="Date (Month Index)" attribute="1" defaultMemberUniqueName="[Dates_Table].[Date (Month Index)].[All]" allUniqueName="[Dates_Table].[Date (Month Index)].[All]" dimensionUniqueName="[Dates_Table]" displayFolder="" count="0" memberValueDatatype="20" unbalanced="0" hidden="1"/>
    <cacheHierarchy uniqueName="[Measures].[__XL_Count Dates_Table]" caption="__XL_Count Dates_Table" measure="1" displayFolder="" measureGroup="Dates_Table"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Average of Patient Satisfaction Score]" caption="Average of Patient Satisfaction Scor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ge Status]" caption="Count of Patient Age Status"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Waittime Status]" caption="Count of Patient Waittime Status" measure="1" displayFolder="" measureGroup="Hospital Emergency Room Data  2" count="0" hidden="1">
      <extLst>
        <ext xmlns:x15="http://schemas.microsoft.com/office/spreadsheetml/2010/11/main" uri="{B97F6D7D-B522-45F9-BDA1-12C45D357490}">
          <x15:cacheHierarchy aggregatedColumn="14"/>
        </ext>
      </extLst>
    </cacheHierarchy>
  </cacheHierarchies>
  <kpis count="0"/>
  <dimensions count="3">
    <dimension name="Dates_Table" uniqueName="[Dates_Table]" caption="Dates_Table"/>
    <dimension name="Hospital Emergency Room Data  2" uniqueName="[Hospital Emergency Room Data  2]" caption="Hospital Emergency Room Data  2"/>
    <dimension measure="1" name="Measures" uniqueName="[Measures]" caption="Measures"/>
  </dimensions>
  <measureGroups count="2">
    <measureGroup name="Dates_Table" caption="Dates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Patel" refreshedDate="46079.32374803241" createdVersion="5" refreshedVersion="8" minRefreshableVersion="3" recordCount="0" supportSubquery="1" supportAdvancedDrill="1" xr:uid="{922B6A2B-31AC-4D32-B566-DF33FB4DAF92}">
  <cacheSource type="external" connectionId="3"/>
  <cacheFields count="3">
    <cacheField name="[Dates_Table].[Date (Month)].[Date (Month)]" caption="Date (Month)" numFmtId="0" hierarchy="1" level="1">
      <sharedItems containsSemiMixedTypes="0" containsNonDate="0" containsString="0"/>
    </cacheField>
    <cacheField name="[Hospital Emergency Room Data  2].[Patient Age Status].[Patient Age Status]" caption="Patient Age Status" numFmtId="0" hierarchy="15" level="1">
      <sharedItems count="8">
        <s v="0-09"/>
        <s v="10-19"/>
        <s v="20-29"/>
        <s v="30-39"/>
        <s v="40-49"/>
        <s v="50-59"/>
        <s v="60-69"/>
        <s v="70-79"/>
      </sharedItems>
    </cacheField>
    <cacheField name="[Measures].[Count of Patient Age Status]" caption="Count of Patient Age Status" numFmtId="0" hierarchy="28" level="32767"/>
  </cacheFields>
  <cacheHierarchies count="30">
    <cacheHierarchy uniqueName="[Dates_Table].[Date]" caption="Date" attribute="1" time="1" defaultMemberUniqueName="[Dates_Table].[Date].[All]" allUniqueName="[Dates_Table].[Date].[All]" dimensionUniqueName="[Dates_Table]" displayFolder="" count="0" memberValueDatatype="7" unbalanced="0"/>
    <cacheHierarchy uniqueName="[Dates_Table].[Date (Month)]" caption="Date (Month)" attribute="1" defaultMemberUniqueName="[Dates_Table].[Date (Month)].[All]" allUniqueName="[Dates_Table].[Date (Month)].[All]" dimensionUniqueName="[Dates_Table]" displayFolder="" count="2" memberValueDatatype="130" unbalanced="0">
      <fieldsUsage count="2">
        <fieldUsage x="-1"/>
        <fieldUsage x="0"/>
      </fieldsUsage>
    </cacheHierarchy>
    <cacheHierarchy uniqueName="[Dates_Table].[Date (Day)]" caption="Date (Day)" attribute="1" defaultMemberUniqueName="[Dates_Table].[Date (Day)].[All]" allUniqueName="[Dates_Table].[Date (Day)].[All]" dimensionUniqueName="[Dates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Name]" caption="FullName" attribute="1" defaultMemberUniqueName="[Hospital Emergency Room Data  2].[FullName].[All]" allUniqueName="[Hospital Emergency Room Data  2].[Full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Waittime Status]" caption="Patient Waittime Status" attribute="1" defaultMemberUniqueName="[Hospital Emergency Room Data  2].[Patient Waittime Status].[All]" allUniqueName="[Hospital Emergency Room Data  2].[Patient Waittime Status].[All]" dimensionUniqueName="[Hospital Emergency Room Data  2]" displayFolder="" count="0" memberValueDatatype="130" unbalanced="0"/>
    <cacheHierarchy uniqueName="[Hospital Emergency Room Data  2].[Patient Age Status]" caption="Patient Age Status" attribute="1" defaultMemberUniqueName="[Hospital Emergency Room Data  2].[Patient Age Status].[All]" allUniqueName="[Hospital Emergency Room Data  2].[Patient Age Status].[All]" dimensionUniqueName="[Hospital Emergency Room Data  2]" displayFolder="" count="2" memberValueDatatype="130" unbalanced="0">
      <fieldsUsage count="2">
        <fieldUsage x="-1"/>
        <fieldUsage x="1"/>
      </fieldsUsage>
    </cacheHierarchy>
    <cacheHierarchy uniqueName="[Dates_Table].[Date (Day Index)]" caption="Date (Day Index)" attribute="1" defaultMemberUniqueName="[Dates_Table].[Date (Day Index)].[All]" allUniqueName="[Dates_Table].[Date (Day Index)].[All]" dimensionUniqueName="[Dates_Table]" displayFolder="" count="0" memberValueDatatype="5" unbalanced="0" hidden="1"/>
    <cacheHierarchy uniqueName="[Dates_Table].[Date (Month Index)]" caption="Date (Month Index)" attribute="1" defaultMemberUniqueName="[Dates_Table].[Date (Month Index)].[All]" allUniqueName="[Dates_Table].[Date (Month Index)].[All]" dimensionUniqueName="[Dates_Table]" displayFolder="" count="0" memberValueDatatype="20" unbalanced="0" hidden="1"/>
    <cacheHierarchy uniqueName="[Measures].[__XL_Count Dates_Table]" caption="__XL_Count Dates_Table" measure="1" displayFolder="" measureGroup="Dates_Table"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ge Status]" caption="Count of Patient Age Status"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Waittime Status]" caption="Count of Patient Waittime Status" measure="1" displayFolder="" measureGroup="Hospital Emergency Room Data  2" count="0" hidden="1">
      <extLst>
        <ext xmlns:x15="http://schemas.microsoft.com/office/spreadsheetml/2010/11/main" uri="{B97F6D7D-B522-45F9-BDA1-12C45D357490}">
          <x15:cacheHierarchy aggregatedColumn="14"/>
        </ext>
      </extLst>
    </cacheHierarchy>
  </cacheHierarchies>
  <kpis count="0"/>
  <dimensions count="3">
    <dimension name="Dates_Table" uniqueName="[Dates_Table]" caption="Dates_Table"/>
    <dimension name="Hospital Emergency Room Data  2" uniqueName="[Hospital Emergency Room Data  2]" caption="Hospital Emergency Room Data  2"/>
    <dimension measure="1" name="Measures" uniqueName="[Measures]" caption="Measures"/>
  </dimensions>
  <measureGroups count="2">
    <measureGroup name="Dates_Table" caption="Dates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Patel" refreshedDate="46079.323750694442" createdVersion="5" refreshedVersion="8" minRefreshableVersion="3" recordCount="0" supportSubquery="1" supportAdvancedDrill="1" xr:uid="{D85D8DF1-F99D-4F0F-8A56-9D8A4DAACB21}">
  <cacheSource type="external" connectionId="3"/>
  <cacheFields count="3">
    <cacheField name="[Dates_Table].[Date (Month)].[Date (Month)]" caption="Date (Month)" numFmtId="0" hierarchy="1" level="1">
      <sharedItems containsSemiMixedTypes="0" containsNonDate="0" containsString="0"/>
    </cacheField>
    <cacheField name="[Hospital Emergency Room Data  2].[Patient Waittime Status].[Patient Waittime Status]" caption="Patient Waittime Status" numFmtId="0" hierarchy="14" level="1">
      <sharedItems count="2">
        <s v="Delay"/>
        <s v="Ontime"/>
      </sharedItems>
    </cacheField>
    <cacheField name="[Measures].[Count of Patient Waittime Status]" caption="Count of Patient Waittime Status" numFmtId="0" hierarchy="29" level="32767"/>
  </cacheFields>
  <cacheHierarchies count="30">
    <cacheHierarchy uniqueName="[Dates_Table].[Date]" caption="Date" attribute="1" time="1" defaultMemberUniqueName="[Dates_Table].[Date].[All]" allUniqueName="[Dates_Table].[Date].[All]" dimensionUniqueName="[Dates_Table]" displayFolder="" count="0" memberValueDatatype="7" unbalanced="0"/>
    <cacheHierarchy uniqueName="[Dates_Table].[Date (Month)]" caption="Date (Month)" attribute="1" defaultMemberUniqueName="[Dates_Table].[Date (Month)].[All]" allUniqueName="[Dates_Table].[Date (Month)].[All]" dimensionUniqueName="[Dates_Table]" displayFolder="" count="2" memberValueDatatype="130" unbalanced="0">
      <fieldsUsage count="2">
        <fieldUsage x="-1"/>
        <fieldUsage x="0"/>
      </fieldsUsage>
    </cacheHierarchy>
    <cacheHierarchy uniqueName="[Dates_Table].[Date (Day)]" caption="Date (Day)" attribute="1" defaultMemberUniqueName="[Dates_Table].[Date (Day)].[All]" allUniqueName="[Dates_Table].[Date (Day)].[All]" dimensionUniqueName="[Dates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Name]" caption="FullName" attribute="1" defaultMemberUniqueName="[Hospital Emergency Room Data  2].[FullName].[All]" allUniqueName="[Hospital Emergency Room Data  2].[Full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Waittime Status]" caption="Patient Waittime Status" attribute="1" defaultMemberUniqueName="[Hospital Emergency Room Data  2].[Patient Waittime Status].[All]" allUniqueName="[Hospital Emergency Room Data  2].[Patient Waittime Status].[All]" dimensionUniqueName="[Hospital Emergency Room Data  2]" displayFolder="" count="2" memberValueDatatype="130" unbalanced="0">
      <fieldsUsage count="2">
        <fieldUsage x="-1"/>
        <fieldUsage x="1"/>
      </fieldsUsage>
    </cacheHierarchy>
    <cacheHierarchy uniqueName="[Hospital Emergency Room Data  2].[Patient Age Status]" caption="Patient Age Status" attribute="1" defaultMemberUniqueName="[Hospital Emergency Room Data  2].[Patient Age Status].[All]" allUniqueName="[Hospital Emergency Room Data  2].[Patient Age Status].[All]" dimensionUniqueName="[Hospital Emergency Room Data  2]" displayFolder="" count="0" memberValueDatatype="130" unbalanced="0"/>
    <cacheHierarchy uniqueName="[Dates_Table].[Date (Day Index)]" caption="Date (Day Index)" attribute="1" defaultMemberUniqueName="[Dates_Table].[Date (Day Index)].[All]" allUniqueName="[Dates_Table].[Date (Day Index)].[All]" dimensionUniqueName="[Dates_Table]" displayFolder="" count="0" memberValueDatatype="5" unbalanced="0" hidden="1"/>
    <cacheHierarchy uniqueName="[Dates_Table].[Date (Month Index)]" caption="Date (Month Index)" attribute="1" defaultMemberUniqueName="[Dates_Table].[Date (Month Index)].[All]" allUniqueName="[Dates_Table].[Date (Month Index)].[All]" dimensionUniqueName="[Dates_Table]" displayFolder="" count="0" memberValueDatatype="20" unbalanced="0" hidden="1"/>
    <cacheHierarchy uniqueName="[Measures].[__XL_Count Dates_Table]" caption="__XL_Count Dates_Table" measure="1" displayFolder="" measureGroup="Dates_Table"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ge Status]" caption="Count of Patient Age Status"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Waittime Status]" caption="Count of Patient Waittime Status"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3">
    <dimension name="Dates_Table" uniqueName="[Dates_Table]" caption="Dates_Table"/>
    <dimension name="Hospital Emergency Room Data  2" uniqueName="[Hospital Emergency Room Data  2]" caption="Hospital Emergency Room Data  2"/>
    <dimension measure="1" name="Measures" uniqueName="[Measures]" caption="Measures"/>
  </dimensions>
  <measureGroups count="2">
    <measureGroup name="Dates_Table" caption="Dates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Patel" refreshedDate="46079.32375127315" createdVersion="5" refreshedVersion="8" minRefreshableVersion="3" recordCount="0" supportSubquery="1" supportAdvancedDrill="1" xr:uid="{ACEFF49C-8C5F-4883-9399-9C95093193C4}">
  <cacheSource type="external" connectionId="3"/>
  <cacheFields count="3">
    <cacheField name="[Dates_Table].[Date (Month)].[Date (Month)]" caption="Date (Month)" numFmtId="0" hierarchy="1" level="1">
      <sharedItems containsSemiMixedTypes="0" containsNonDate="0" containsString="0"/>
    </cacheField>
    <cacheField name="[Hospital Emergency Room Data  2].[Patient Gender].[Patient Gender]" caption="Patient Gender" numFmtId="0" hierarchy="7" level="1">
      <sharedItems count="2">
        <s v="Female"/>
        <s v="Male"/>
      </sharedItems>
    </cacheField>
    <cacheField name="[Measures].[Count of Patient Gender]" caption="Count of Patient Gender" numFmtId="0" hierarchy="30" level="32767"/>
  </cacheFields>
  <cacheHierarchies count="31">
    <cacheHierarchy uniqueName="[Dates_Table].[Date]" caption="Date" attribute="1" time="1" defaultMemberUniqueName="[Dates_Table].[Date].[All]" allUniqueName="[Dates_Table].[Date].[All]" dimensionUniqueName="[Dates_Table]" displayFolder="" count="0" memberValueDatatype="7" unbalanced="0"/>
    <cacheHierarchy uniqueName="[Dates_Table].[Date (Month)]" caption="Date (Month)" attribute="1" defaultMemberUniqueName="[Dates_Table].[Date (Month)].[All]" allUniqueName="[Dates_Table].[Date (Month)].[All]" dimensionUniqueName="[Dates_Table]" displayFolder="" count="2" memberValueDatatype="130" unbalanced="0">
      <fieldsUsage count="2">
        <fieldUsage x="-1"/>
        <fieldUsage x="0"/>
      </fieldsUsage>
    </cacheHierarchy>
    <cacheHierarchy uniqueName="[Dates_Table].[Date (Day)]" caption="Date (Day)" attribute="1" defaultMemberUniqueName="[Dates_Table].[Date (Day)].[All]" allUniqueName="[Dates_Table].[Date (Day)].[All]" dimensionUniqueName="[Dates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Name]" caption="FullName" attribute="1" defaultMemberUniqueName="[Hospital Emergency Room Data  2].[FullName].[All]" allUniqueName="[Hospital Emergency Room Data  2].[Full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fieldsUsage count="2">
        <fieldUsage x="-1"/>
        <fieldUsage x="1"/>
      </fieldsUsage>
    </cacheHierarchy>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Waittime Status]" caption="Patient Waittime Status" attribute="1" defaultMemberUniqueName="[Hospital Emergency Room Data  2].[Patient Waittime Status].[All]" allUniqueName="[Hospital Emergency Room Data  2].[Patient Waittime Status].[All]" dimensionUniqueName="[Hospital Emergency Room Data  2]" displayFolder="" count="0" memberValueDatatype="130" unbalanced="0"/>
    <cacheHierarchy uniqueName="[Hospital Emergency Room Data  2].[Patient Age Status]" caption="Patient Age Status" attribute="1" defaultMemberUniqueName="[Hospital Emergency Room Data  2].[Patient Age Status].[All]" allUniqueName="[Hospital Emergency Room Data  2].[Patient Age Status].[All]" dimensionUniqueName="[Hospital Emergency Room Data  2]" displayFolder="" count="0" memberValueDatatype="130" unbalanced="0"/>
    <cacheHierarchy uniqueName="[Dates_Table].[Date (Day Index)]" caption="Date (Day Index)" attribute="1" defaultMemberUniqueName="[Dates_Table].[Date (Day Index)].[All]" allUniqueName="[Dates_Table].[Date (Day Index)].[All]" dimensionUniqueName="[Dates_Table]" displayFolder="" count="0" memberValueDatatype="5" unbalanced="0" hidden="1"/>
    <cacheHierarchy uniqueName="[Dates_Table].[Date (Month Index)]" caption="Date (Month Index)" attribute="1" defaultMemberUniqueName="[Dates_Table].[Date (Month Index)].[All]" allUniqueName="[Dates_Table].[Date (Month Index)].[All]" dimensionUniqueName="[Dates_Table]" displayFolder="" count="0" memberValueDatatype="20" unbalanced="0" hidden="1"/>
    <cacheHierarchy uniqueName="[Measures].[__XL_Count Dates_Table]" caption="__XL_Count Dates_Table" measure="1" displayFolder="" measureGroup="Dates_Table"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ge Status]" caption="Count of Patient Age Status"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Count of Patient Waittime Status]" caption="Count of Patient Waittime Status"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2"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3">
    <dimension name="Dates_Table" uniqueName="[Dates_Table]" caption="Dates_Table"/>
    <dimension name="Hospital Emergency Room Data  2" uniqueName="[Hospital Emergency Room Data  2]" caption="Hospital Emergency Room Data  2"/>
    <dimension measure="1" name="Measures" uniqueName="[Measures]" caption="Measures"/>
  </dimensions>
  <measureGroups count="2">
    <measureGroup name="Dates_Table" caption="Dates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en Patel" refreshedDate="46078.710919560188" createdVersion="3" refreshedVersion="8" minRefreshableVersion="3" recordCount="0" supportSubquery="1" supportAdvancedDrill="1" xr:uid="{37E163E4-C3A8-4E46-8226-CAEA960F7121}">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Dates_Table].[Date]" caption="Date" attribute="1" time="1" defaultMemberUniqueName="[Dates_Table].[Date].[All]" allUniqueName="[Dates_Table].[Date].[All]" dimensionUniqueName="[Dates_Table]" displayFolder="" count="0" memberValueDatatype="7" unbalanced="0"/>
    <cacheHierarchy uniqueName="[Dates_Table].[Date (Month)]" caption="Date (Month)" attribute="1" defaultMemberUniqueName="[Dates_Table].[Date (Month)].[All]" allUniqueName="[Dates_Table].[Date (Month)].[All]" dimensionUniqueName="[Dates_Table]" displayFolder="" count="2" memberValueDatatype="130" unbalanced="0"/>
    <cacheHierarchy uniqueName="[Dates_Table].[Date (Day)]" caption="Date (Day)" attribute="1" defaultMemberUniqueName="[Dates_Table].[Date (Day)].[All]" allUniqueName="[Dates_Table].[Date (Day)].[All]" dimensionUniqueName="[Dates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Name]" caption="FullName" attribute="1" defaultMemberUniqueName="[Hospital Emergency Room Data  2].[FullName].[All]" allUniqueName="[Hospital Emergency Room Data  2].[Full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Patient Waittime Status]" caption="Patient Waittime Status" attribute="1" defaultMemberUniqueName="[Hospital Emergency Room Data  2].[Patient Waittime Status].[All]" allUniqueName="[Hospital Emergency Room Data  2].[Patient Waittime Status].[All]" dimensionUniqueName="[Hospital Emergency Room Data  2]" displayFolder="" count="0" memberValueDatatype="130" unbalanced="0"/>
    <cacheHierarchy uniqueName="[Hospital Emergency Room Data  2].[Patient Age Status]" caption="Patient Age Status" attribute="1" defaultMemberUniqueName="[Hospital Emergency Room Data  2].[Patient Age Status].[All]" allUniqueName="[Hospital Emergency Room Data  2].[Patient Age Status].[All]" dimensionUniqueName="[Hospital Emergency Room Data  2]" displayFolder="" count="0" memberValueDatatype="130" unbalanced="0"/>
    <cacheHierarchy uniqueName="[Dates_Table].[Date (Day Index)]" caption="Date (Day Index)" attribute="1" defaultMemberUniqueName="[Dates_Table].[Date (Day Index)].[All]" allUniqueName="[Dates_Table].[Date (Day Index)].[All]" dimensionUniqueName="[Dates_Table]" displayFolder="" count="0" memberValueDatatype="5" unbalanced="0" hidden="1"/>
    <cacheHierarchy uniqueName="[Dates_Table].[Date (Month Index)]" caption="Date (Month Index)" attribute="1" defaultMemberUniqueName="[Dates_Table].[Date (Month Index)].[All]" allUniqueName="[Dates_Table].[Date (Month Index)].[All]" dimensionUniqueName="[Dates_Table]" displayFolder="" count="0" memberValueDatatype="20" unbalanced="0" hidden="1"/>
    <cacheHierarchy uniqueName="[Measures].[__XL_Count Dates_Table]" caption="__XL_Count Dates_Table" measure="1" displayFolder="" measureGroup="Dates_Table" count="0" hidden="1"/>
    <cacheHierarchy uniqueName="[Measures].[__XL_Count Hospital Emergency Room Data  2]" caption="__XL_Count Hospital Emergency Room Data  2" measure="1" displayFolder="" measureGroup="Hospital Emergency Room Data  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897800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1BA3FB-EE31-4823-9463-5DF67C950193}" name="PivotTable6" cacheId="4" applyNumberFormats="0" applyBorderFormats="0" applyFontFormats="0" applyPatternFormats="0" applyAlignmentFormats="0" applyWidthHeightFormats="1" dataCaption="Values" tag="6b7ac1e9-d08e-470b-92b7-95f5cfd31628" updatedVersion="8" minRefreshableVersion="3" useAutoFormatting="1" subtotalHiddenItems="1" itemPrintTitles="1" createdVersion="5" indent="0" outline="1" outlineData="1" multipleFieldFilters="0" chartFormat="19">
  <location ref="G8:H40"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3"/>
  </dataFields>
  <formats count="1">
    <format dxfId="0">
      <pivotArea outline="0" collapsedLevelsAreSubtotals="1" fieldPosition="0"/>
    </format>
  </formats>
  <chartFormats count="33">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0" count="1" selected="0">
            <x v="0"/>
          </reference>
        </references>
      </pivotArea>
    </chartFormat>
    <chartFormat chart="14" format="6">
      <pivotArea type="data" outline="0" fieldPosition="0">
        <references count="2">
          <reference field="4294967294" count="1" selected="0">
            <x v="0"/>
          </reference>
          <reference field="0" count="1" selected="0">
            <x v="1"/>
          </reference>
        </references>
      </pivotArea>
    </chartFormat>
    <chartFormat chart="14" format="7">
      <pivotArea type="data" outline="0" fieldPosition="0">
        <references count="2">
          <reference field="4294967294" count="1" selected="0">
            <x v="0"/>
          </reference>
          <reference field="0" count="1" selected="0">
            <x v="2"/>
          </reference>
        </references>
      </pivotArea>
    </chartFormat>
    <chartFormat chart="14" format="8">
      <pivotArea type="data" outline="0" fieldPosition="0">
        <references count="2">
          <reference field="4294967294" count="1" selected="0">
            <x v="0"/>
          </reference>
          <reference field="0" count="1" selected="0">
            <x v="3"/>
          </reference>
        </references>
      </pivotArea>
    </chartFormat>
    <chartFormat chart="14" format="9">
      <pivotArea type="data" outline="0" fieldPosition="0">
        <references count="2">
          <reference field="4294967294" count="1" selected="0">
            <x v="0"/>
          </reference>
          <reference field="0" count="1" selected="0">
            <x v="4"/>
          </reference>
        </references>
      </pivotArea>
    </chartFormat>
    <chartFormat chart="14" format="10">
      <pivotArea type="data" outline="0" fieldPosition="0">
        <references count="2">
          <reference field="4294967294" count="1" selected="0">
            <x v="0"/>
          </reference>
          <reference field="0" count="1" selected="0">
            <x v="5"/>
          </reference>
        </references>
      </pivotArea>
    </chartFormat>
    <chartFormat chart="14" format="11">
      <pivotArea type="data" outline="0" fieldPosition="0">
        <references count="2">
          <reference field="4294967294" count="1" selected="0">
            <x v="0"/>
          </reference>
          <reference field="0" count="1" selected="0">
            <x v="6"/>
          </reference>
        </references>
      </pivotArea>
    </chartFormat>
    <chartFormat chart="14" format="12">
      <pivotArea type="data" outline="0" fieldPosition="0">
        <references count="2">
          <reference field="4294967294" count="1" selected="0">
            <x v="0"/>
          </reference>
          <reference field="0" count="1" selected="0">
            <x v="7"/>
          </reference>
        </references>
      </pivotArea>
    </chartFormat>
    <chartFormat chart="14" format="13">
      <pivotArea type="data" outline="0" fieldPosition="0">
        <references count="2">
          <reference field="4294967294" count="1" selected="0">
            <x v="0"/>
          </reference>
          <reference field="0" count="1" selected="0">
            <x v="8"/>
          </reference>
        </references>
      </pivotArea>
    </chartFormat>
    <chartFormat chart="14" format="14">
      <pivotArea type="data" outline="0" fieldPosition="0">
        <references count="2">
          <reference field="4294967294" count="1" selected="0">
            <x v="0"/>
          </reference>
          <reference field="0" count="1" selected="0">
            <x v="9"/>
          </reference>
        </references>
      </pivotArea>
    </chartFormat>
    <chartFormat chart="14" format="15">
      <pivotArea type="data" outline="0" fieldPosition="0">
        <references count="2">
          <reference field="4294967294" count="1" selected="0">
            <x v="0"/>
          </reference>
          <reference field="0" count="1" selected="0">
            <x v="10"/>
          </reference>
        </references>
      </pivotArea>
    </chartFormat>
    <chartFormat chart="14" format="16">
      <pivotArea type="data" outline="0" fieldPosition="0">
        <references count="2">
          <reference field="4294967294" count="1" selected="0">
            <x v="0"/>
          </reference>
          <reference field="0" count="1" selected="0">
            <x v="11"/>
          </reference>
        </references>
      </pivotArea>
    </chartFormat>
    <chartFormat chart="14" format="17">
      <pivotArea type="data" outline="0" fieldPosition="0">
        <references count="2">
          <reference field="4294967294" count="1" selected="0">
            <x v="0"/>
          </reference>
          <reference field="0" count="1" selected="0">
            <x v="12"/>
          </reference>
        </references>
      </pivotArea>
    </chartFormat>
    <chartFormat chart="14" format="18">
      <pivotArea type="data" outline="0" fieldPosition="0">
        <references count="2">
          <reference field="4294967294" count="1" selected="0">
            <x v="0"/>
          </reference>
          <reference field="0" count="1" selected="0">
            <x v="13"/>
          </reference>
        </references>
      </pivotArea>
    </chartFormat>
    <chartFormat chart="14" format="19">
      <pivotArea type="data" outline="0" fieldPosition="0">
        <references count="2">
          <reference field="4294967294" count="1" selected="0">
            <x v="0"/>
          </reference>
          <reference field="0" count="1" selected="0">
            <x v="14"/>
          </reference>
        </references>
      </pivotArea>
    </chartFormat>
    <chartFormat chart="14" format="20">
      <pivotArea type="data" outline="0" fieldPosition="0">
        <references count="2">
          <reference field="4294967294" count="1" selected="0">
            <x v="0"/>
          </reference>
          <reference field="0" count="1" selected="0">
            <x v="15"/>
          </reference>
        </references>
      </pivotArea>
    </chartFormat>
    <chartFormat chart="14" format="21">
      <pivotArea type="data" outline="0" fieldPosition="0">
        <references count="2">
          <reference field="4294967294" count="1" selected="0">
            <x v="0"/>
          </reference>
          <reference field="0" count="1" selected="0">
            <x v="16"/>
          </reference>
        </references>
      </pivotArea>
    </chartFormat>
    <chartFormat chart="14" format="22">
      <pivotArea type="data" outline="0" fieldPosition="0">
        <references count="2">
          <reference field="4294967294" count="1" selected="0">
            <x v="0"/>
          </reference>
          <reference field="0" count="1" selected="0">
            <x v="17"/>
          </reference>
        </references>
      </pivotArea>
    </chartFormat>
    <chartFormat chart="14" format="23">
      <pivotArea type="data" outline="0" fieldPosition="0">
        <references count="2">
          <reference field="4294967294" count="1" selected="0">
            <x v="0"/>
          </reference>
          <reference field="0" count="1" selected="0">
            <x v="18"/>
          </reference>
        </references>
      </pivotArea>
    </chartFormat>
    <chartFormat chart="14" format="24">
      <pivotArea type="data" outline="0" fieldPosition="0">
        <references count="2">
          <reference field="4294967294" count="1" selected="0">
            <x v="0"/>
          </reference>
          <reference field="0" count="1" selected="0">
            <x v="19"/>
          </reference>
        </references>
      </pivotArea>
    </chartFormat>
    <chartFormat chart="14" format="25">
      <pivotArea type="data" outline="0" fieldPosition="0">
        <references count="2">
          <reference field="4294967294" count="1" selected="0">
            <x v="0"/>
          </reference>
          <reference field="0" count="1" selected="0">
            <x v="20"/>
          </reference>
        </references>
      </pivotArea>
    </chartFormat>
    <chartFormat chart="14" format="26">
      <pivotArea type="data" outline="0" fieldPosition="0">
        <references count="2">
          <reference field="4294967294" count="1" selected="0">
            <x v="0"/>
          </reference>
          <reference field="0" count="1" selected="0">
            <x v="21"/>
          </reference>
        </references>
      </pivotArea>
    </chartFormat>
    <chartFormat chart="14" format="27">
      <pivotArea type="data" outline="0" fieldPosition="0">
        <references count="2">
          <reference field="4294967294" count="1" selected="0">
            <x v="0"/>
          </reference>
          <reference field="0" count="1" selected="0">
            <x v="22"/>
          </reference>
        </references>
      </pivotArea>
    </chartFormat>
    <chartFormat chart="14" format="28">
      <pivotArea type="data" outline="0" fieldPosition="0">
        <references count="2">
          <reference field="4294967294" count="1" selected="0">
            <x v="0"/>
          </reference>
          <reference field="0" count="1" selected="0">
            <x v="23"/>
          </reference>
        </references>
      </pivotArea>
    </chartFormat>
    <chartFormat chart="14" format="29">
      <pivotArea type="data" outline="0" fieldPosition="0">
        <references count="2">
          <reference field="4294967294" count="1" selected="0">
            <x v="0"/>
          </reference>
          <reference field="0" count="1" selected="0">
            <x v="24"/>
          </reference>
        </references>
      </pivotArea>
    </chartFormat>
    <chartFormat chart="14" format="30">
      <pivotArea type="data" outline="0" fieldPosition="0">
        <references count="2">
          <reference field="4294967294" count="1" selected="0">
            <x v="0"/>
          </reference>
          <reference field="0" count="1" selected="0">
            <x v="25"/>
          </reference>
        </references>
      </pivotArea>
    </chartFormat>
    <chartFormat chart="14" format="31">
      <pivotArea type="data" outline="0" fieldPosition="0">
        <references count="2">
          <reference field="4294967294" count="1" selected="0">
            <x v="0"/>
          </reference>
          <reference field="0" count="1" selected="0">
            <x v="26"/>
          </reference>
        </references>
      </pivotArea>
    </chartFormat>
    <chartFormat chart="14" format="32">
      <pivotArea type="data" outline="0" fieldPosition="0">
        <references count="2">
          <reference field="4294967294" count="1" selected="0">
            <x v="0"/>
          </reference>
          <reference field="0" count="1" selected="0">
            <x v="27"/>
          </reference>
        </references>
      </pivotArea>
    </chartFormat>
    <chartFormat chart="14" format="33">
      <pivotArea type="data" outline="0" fieldPosition="0">
        <references count="2">
          <reference field="4294967294" count="1" selected="0">
            <x v="0"/>
          </reference>
          <reference field="0" count="1" selected="0">
            <x v="28"/>
          </reference>
        </references>
      </pivotArea>
    </chartFormat>
    <chartFormat chart="14" format="34">
      <pivotArea type="data" outline="0" fieldPosition="0">
        <references count="2">
          <reference field="4294967294" count="1" selected="0">
            <x v="0"/>
          </reference>
          <reference field="0" count="1" selected="0">
            <x v="29"/>
          </reference>
        </references>
      </pivotArea>
    </chartFormat>
    <chartFormat chart="14" format="35">
      <pivotArea type="data" outline="0" fieldPosition="0">
        <references count="2">
          <reference field="4294967294" count="1" selected="0">
            <x v="0"/>
          </reference>
          <reference field="0" count="1" selected="0">
            <x v="30"/>
          </reference>
        </references>
      </pivotArea>
    </chartFormat>
  </chartFormats>
  <pivotHierarchies count="30">
    <pivotHierarchy dragToData="1"/>
    <pivotHierarchy multipleItemSelectionAllowed="1" dragToData="1">
      <members count="1" level="1">
        <member name="[Dates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Distinct Count of Patient Id"/>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_Table]"/>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A977D5-32AC-4B55-B082-851464A35596}" name="PivotTable10" cacheId="9" applyNumberFormats="0" applyBorderFormats="0" applyFontFormats="0" applyPatternFormats="0" applyAlignmentFormats="0" applyWidthHeightFormats="1" dataCaption="Values" tag="93d19a39-5d05-4338-b567-89c2c3e08746" updatedVersion="8" minRefreshableVersion="3" subtotalHiddenItems="1" itemPrintTitles="1" createdVersion="5" indent="0" outline="1" outlineData="1" multipleFieldFilters="0" chartFormat="27">
  <location ref="A70:B73"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2">
    <format dxfId="2">
      <pivotArea outline="0" collapsedLevelsAreSubtotals="1" fieldPosition="0"/>
    </format>
    <format dxfId="1">
      <pivotArea collapsedLevelsAreSubtotals="1" fieldPosition="0">
        <references count="1">
          <reference field="1" count="0"/>
        </references>
      </pivotArea>
    </format>
  </formats>
  <chartFormats count="7">
    <chartFormat chart="23"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5" format="2">
      <pivotArea type="data" outline="0" fieldPosition="0">
        <references count="2">
          <reference field="4294967294" count="1" selected="0">
            <x v="0"/>
          </reference>
          <reference field="1" count="1" selected="0">
            <x v="0"/>
          </reference>
        </references>
      </pivotArea>
    </chartFormat>
    <chartFormat chart="25" format="3">
      <pivotArea type="data" outline="0" fieldPosition="0">
        <references count="2">
          <reference field="4294967294" count="1" selected="0">
            <x v="0"/>
          </reference>
          <reference field="1"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1" count="1" selected="0">
            <x v="0"/>
          </reference>
        </references>
      </pivotArea>
    </chartFormat>
    <chartFormat chart="26" format="6">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multipleItemSelectionAllowed="1" dragToData="1">
      <members count="1" level="1">
        <member name="[Dates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_Table]"/>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E4E96F-C7FF-4338-AF25-962FE4E6E05A}" name="PivotTable9" cacheId="8" applyNumberFormats="0" applyBorderFormats="0" applyFontFormats="0" applyPatternFormats="0" applyAlignmentFormats="0" applyWidthHeightFormats="1" dataCaption="Values" tag="93d19a39-5d05-4338-b567-89c2c3e08746" updatedVersion="8" minRefreshableVersion="3" subtotalHiddenItems="1" itemPrintTitles="1" createdVersion="5" indent="0" outline="1" outlineData="1" multipleFieldFilters="0" chartFormat="23">
  <location ref="A63:B6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Waittime Status" fld="2" subtotal="count" baseField="0" baseItem="0"/>
  </dataFields>
  <formats count="2">
    <format dxfId="4">
      <pivotArea outline="0" collapsedLevelsAreSubtotals="1" fieldPosition="0"/>
    </format>
    <format dxfId="3">
      <pivotArea collapsedLevelsAreSubtotals="1" fieldPosition="0">
        <references count="1">
          <reference field="1" count="0"/>
        </references>
      </pivotArea>
    </format>
  </formats>
  <chartFormats count="7">
    <chartFormat chart="16"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 count="1" selected="0">
            <x v="0"/>
          </reference>
        </references>
      </pivotArea>
    </chartFormat>
    <chartFormat chart="22" format="12">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multipleItemSelectionAllowed="1" dragToData="1">
      <members count="1" level="1">
        <member name="[Dates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_Table]"/>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ECBC8C-B21B-433C-904E-87A41C3555E2}" name="PivotTable5" cacheId="0" applyNumberFormats="0" applyBorderFormats="0" applyFontFormats="0" applyPatternFormats="0" applyAlignmentFormats="0" applyWidthHeightFormats="1" dataCaption="Values" tag="e963c4bb-a3fa-4580-9b31-42d01ffc0007" updatedVersion="8" minRefreshableVersion="3" useAutoFormatting="1" subtotalHiddenItems="1" itemPrintTitles="1" createdVersion="5" indent="0" outline="1" outlineData="1" multipleFieldFilters="0" chartFormat="10">
  <location ref="D8:E40" firstHeaderRow="1" firstDataRow="1" firstDataCol="1"/>
  <pivotFields count="3">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5">
      <pivotArea outline="0" collapsedLevelsAreSubtotals="1" fieldPosition="0"/>
    </format>
  </formats>
  <chartFormats count="3">
    <chartFormat chart="4"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 count="1" selected="0">
            <x v="31"/>
          </reference>
        </references>
      </pivotArea>
    </chartFormat>
  </chartFormats>
  <pivotHierarchies count="30">
    <pivotHierarchy dragToData="1"/>
    <pivotHierarchy multipleItemSelectionAllowed="1" dragToData="1">
      <members count="1" level="1">
        <member name="[Dates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Distinct Count of Patient Id"/>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_Table]"/>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4361AB-6D33-44F4-894C-085CA72E2BFB}" name="PivotTable4" cacheId="7" applyNumberFormats="0" applyBorderFormats="0" applyFontFormats="0" applyPatternFormats="0" applyAlignmentFormats="0" applyWidthHeightFormats="1" dataCaption="Values" tag="93d19a39-5d05-4338-b567-89c2c3e08746" updatedVersion="8" minRefreshableVersion="3" subtotalHiddenItems="1" itemPrintTitles="1" createdVersion="5" indent="0" outline="1" outlineData="1" multipleFieldFilters="0" chartFormat="16">
  <location ref="A49:B5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Patient Age Status" fld="2" subtotal="count" baseField="0" baseItem="0"/>
  </dataFields>
  <formats count="2">
    <format dxfId="7">
      <pivotArea outline="0" collapsedLevelsAreSubtotals="1" fieldPosition="0"/>
    </format>
    <format dxfId="6">
      <pivotArea collapsedLevelsAreSubtotals="1" fieldPosition="0">
        <references count="1">
          <reference field="1" count="0"/>
        </references>
      </pivotArea>
    </format>
  </formats>
  <chartFormats count="1">
    <chartFormat chart="15"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Dates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_Table]"/>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751961-F420-4952-B429-8B11B5DC9B76}" name="PivotTable3" cacheId="3" applyNumberFormats="0" applyBorderFormats="0" applyFontFormats="0" applyPatternFormats="0" applyAlignmentFormats="0" applyWidthHeightFormats="1" dataCaption="Values" tag="b7da16dd-e4d3-4bfa-99e1-1c4168db7a99" updatedVersion="8" minRefreshableVersion="3" useAutoFormatting="1" subtotalHiddenItems="1" itemPrintTitles="1" createdVersion="5" indent="0" outline="1" outlineData="1" multipleFieldFilters="0">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
      <pivotArea outline="0" collapsedLevelsAreSubtotals="1" fieldPosition="0"/>
    </format>
  </formats>
  <pivotHierarchies count="30">
    <pivotHierarchy dragToData="1"/>
    <pivotHierarchy multipleItemSelectionAllowed="1" dragToData="1">
      <members count="1" level="1">
        <member name="[Dates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_Table]"/>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27FCD6-8350-4196-B34A-9B448D0089BD}" name="PivotTable2" cacheId="2" applyNumberFormats="0" applyBorderFormats="0" applyFontFormats="0" applyPatternFormats="0" applyAlignmentFormats="0" applyWidthHeightFormats="1" dataCaption="Values" tag="29b5f81b-5341-4945-b9b5-f223ffa1d900" updatedVersion="8" minRefreshableVersion="3" useAutoFormatting="1"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0">
    <pivotHierarchy dragToData="1"/>
    <pivotHierarchy multipleItemSelectionAllowed="1" dragToData="1">
      <members count="1" level="1">
        <member name="[Dates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_Table]"/>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65375A-9C64-439E-8C7D-36C3E2A384DB}" name="PivotTable7" cacheId="6" applyNumberFormats="0" applyBorderFormats="0" applyFontFormats="0" applyPatternFormats="0" applyAlignmentFormats="0" applyWidthHeightFormats="1" dataCaption="Values" tag="7a605118-ff52-4219-9bdb-d9622f0aa37d" updatedVersion="8" minRefreshableVersion="3" useAutoFormatting="1" subtotalHiddenItems="1" itemPrintTitles="1" createdVersion="5" indent="0" outline="1" outlineData="1" multipleFieldFilters="0" chartFormat="28">
  <location ref="K8:L40"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0">
      <pivotArea outline="0" collapsedLevelsAreSubtotals="1" fieldPosition="0"/>
    </format>
  </formats>
  <chartFormats count="2">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Dates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Distinct Count of Patient Id"/>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_Table]"/>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E8979D-630F-415E-B9A6-F0EE9A8CE9A8}" name="PivotTable8" cacheId="5" applyNumberFormats="0" applyBorderFormats="0" applyFontFormats="0" applyPatternFormats="0" applyAlignmentFormats="0" applyWidthHeightFormats="1" dataCaption="Values" tag="93d19a39-5d05-4338-b567-89c2c3e08746" updatedVersion="8" minRefreshableVersion="3" subtotalHiddenItems="1" itemPrintTitles="1" createdVersion="5" indent="0" outline="1" outlineData="1" multipleFieldFilters="0" chartFormat="12">
  <location ref="A24:C27"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2">
      <pivotArea outline="0" collapsedLevelsAreSubtotals="1" fieldPosition="0"/>
    </format>
    <format dxfId="11">
      <pivotArea outline="0" fieldPosition="0">
        <references count="1">
          <reference field="4294967294" count="1">
            <x v="1"/>
          </reference>
        </references>
      </pivotArea>
    </format>
  </formats>
  <chartFormats count="1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pivotArea type="data" outline="0" fieldPosition="0">
        <references count="2">
          <reference field="4294967294" count="1" selected="0">
            <x v="0"/>
          </reference>
          <reference field="2" count="1" selected="0">
            <x v="0"/>
          </reference>
        </references>
      </pivotArea>
    </chartFormat>
    <chartFormat chart="10" format="3">
      <pivotArea type="data" outline="0" fieldPosition="0">
        <references count="2">
          <reference field="4294967294" count="1" selected="0">
            <x v="0"/>
          </reference>
          <reference field="2" count="1" selected="0">
            <x v="1"/>
          </reference>
        </references>
      </pivotArea>
    </chartFormat>
  </chartFormats>
  <pivotHierarchies count="31">
    <pivotHierarchy dragToData="1"/>
    <pivotHierarchy multipleItemSelectionAllowed="1" dragToData="1">
      <members count="1" level="1">
        <member name="[Dates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_Table]"/>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162B6E-3BF4-4DB2-AE97-DC2BC387053B}" name="PivotTable1" cacheId="1" applyNumberFormats="0" applyBorderFormats="0" applyFontFormats="0" applyPatternFormats="0" applyAlignmentFormats="0" applyWidthHeightFormats="1" dataCaption="Values" tag="3f9b0756-6b63-475c-b191-0347440c7800" updatedVersion="8" minRefreshableVersion="3" subtotalHiddenItems="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0">
    <pivotHierarchy dragToData="1"/>
    <pivotHierarchy multipleItemSelectionAllowed="1" dragToData="1">
      <members count="1" level="1">
        <member name="[Dates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_Table]"/>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1F198C7-2D41-4A4A-9826-7E8B40B9E7A8}" sourceName="[Dates_Table].[Date (Month)]">
  <pivotTables>
    <pivotTable tabId="1" name="PivotTable5"/>
    <pivotTable tabId="1" name="PivotTable1"/>
    <pivotTable tabId="1" name="PivotTable2"/>
    <pivotTable tabId="1" name="PivotTable3"/>
    <pivotTable tabId="1" name="PivotTable6"/>
    <pivotTable tabId="1" name="PivotTable8"/>
    <pivotTable tabId="1" name="PivotTable7"/>
    <pivotTable tabId="1" name="PivotTable4"/>
    <pivotTable tabId="1" name="PivotTable9"/>
    <pivotTable tabId="1" name="PivotTable10"/>
  </pivotTables>
  <data>
    <olap pivotCacheId="89780067">
      <levels count="2">
        <level uniqueName="[Dates_Table].[Date (Month)].[(All)]" sourceCaption="(All)" count="0"/>
        <level uniqueName="[Dates_Table].[Date (Month)].[Date (Month)]" sourceCaption="Date (Month)" count="12">
          <ranges>
            <range startItem="0">
              <i n="[Dates_Table].[Date (Month)].&amp;[Jan]" c="Jan"/>
              <i n="[Dates_Table].[Date (Month)].&amp;[Feb]" c="Feb"/>
              <i n="[Dates_Table].[Date (Month)].&amp;[Mar]" c="Mar"/>
              <i n="[Dates_Table].[Date (Month)].&amp;[Apr]" c="Apr"/>
              <i n="[Dates_Table].[Date (Month)].&amp;[May]" c="May"/>
              <i n="[Dates_Table].[Date (Month)].&amp;[Jun]" c="Jun"/>
              <i n="[Dates_Table].[Date (Month)].&amp;[Jul]" c="Jul"/>
              <i n="[Dates_Table].[Date (Month)].&amp;[Aug]" c="Aug"/>
              <i n="[Dates_Table].[Date (Month)].&amp;[Sep]" c="Sep"/>
              <i n="[Dates_Table].[Date (Month)].&amp;[Oct]" c="Oct"/>
              <i n="[Dates_Table].[Date (Month)].&amp;[Nov]" c="Nov"/>
              <i n="[Dates_Table].[Date (Month)].&amp;[Dec]" c="Dec"/>
            </range>
          </ranges>
        </level>
      </levels>
      <selections count="1">
        <selection n="[Dates_Table].[Date (Month)].&amp;[J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1D9F51B-C9B3-4D58-8C2E-4F0F40ABD8ED}" cache="Slicer_Date__Month" caption="Date (Month)" showCaption="0" level="1" style="MyStyle"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2A07-2B26-409B-A710-CBFFA3329628}">
  <sheetPr>
    <tabColor theme="5"/>
  </sheetPr>
  <dimension ref="A5:L73"/>
  <sheetViews>
    <sheetView topLeftCell="A7" workbookViewId="0">
      <selection activeCell="B71" sqref="B71"/>
    </sheetView>
  </sheetViews>
  <sheetFormatPr defaultRowHeight="14.4" x14ac:dyDescent="0.3"/>
  <cols>
    <col min="1" max="1" width="32.44140625" bestFit="1" customWidth="1"/>
    <col min="2" max="2" width="28.109375" bestFit="1" customWidth="1"/>
    <col min="3" max="3" width="29.109375" bestFit="1" customWidth="1"/>
    <col min="4" max="4" width="12.5546875" bestFit="1" customWidth="1"/>
    <col min="5" max="5" width="23.88671875" bestFit="1" customWidth="1"/>
    <col min="6" max="6" width="16.88671875" customWidth="1"/>
    <col min="7" max="7" width="12.5546875" bestFit="1" customWidth="1"/>
    <col min="8" max="8" width="25" bestFit="1" customWidth="1"/>
    <col min="9" max="10" width="10.33203125" bestFit="1" customWidth="1"/>
    <col min="11" max="11" width="12.5546875" bestFit="1" customWidth="1"/>
    <col min="12" max="12" width="32.44140625" bestFit="1" customWidth="1"/>
    <col min="13" max="735" width="10.33203125" bestFit="1" customWidth="1"/>
    <col min="736" max="736" width="7" bestFit="1" customWidth="1"/>
    <col min="737" max="737" width="10.77734375" bestFit="1" customWidth="1"/>
  </cols>
  <sheetData>
    <row r="5" spans="1:12" x14ac:dyDescent="0.3">
      <c r="A5" t="s">
        <v>0</v>
      </c>
    </row>
    <row r="6" spans="1:12" x14ac:dyDescent="0.3">
      <c r="A6" t="s">
        <v>2</v>
      </c>
    </row>
    <row r="7" spans="1:12" x14ac:dyDescent="0.3">
      <c r="A7">
        <v>513</v>
      </c>
      <c r="D7" t="s">
        <v>7</v>
      </c>
      <c r="G7" t="s">
        <v>8</v>
      </c>
    </row>
    <row r="8" spans="1:12" x14ac:dyDescent="0.3">
      <c r="D8" s="3" t="s">
        <v>4</v>
      </c>
      <c r="E8" t="s">
        <v>2</v>
      </c>
      <c r="G8" s="3" t="s">
        <v>4</v>
      </c>
      <c r="H8" t="s">
        <v>1</v>
      </c>
      <c r="K8" s="3" t="s">
        <v>4</v>
      </c>
      <c r="L8" t="s">
        <v>3</v>
      </c>
    </row>
    <row r="9" spans="1:12" x14ac:dyDescent="0.3">
      <c r="D9" s="4" t="s">
        <v>27</v>
      </c>
      <c r="E9" s="2">
        <v>19</v>
      </c>
      <c r="G9" s="4" t="s">
        <v>27</v>
      </c>
      <c r="H9" s="2">
        <v>37.789473684210527</v>
      </c>
      <c r="K9" s="4" t="s">
        <v>27</v>
      </c>
      <c r="L9" s="2">
        <v>6.666666666666667</v>
      </c>
    </row>
    <row r="10" spans="1:12" x14ac:dyDescent="0.3">
      <c r="D10" s="4" t="s">
        <v>28</v>
      </c>
      <c r="E10" s="2">
        <v>14</v>
      </c>
      <c r="G10" s="4" t="s">
        <v>28</v>
      </c>
      <c r="H10" s="2">
        <v>38.214285714285715</v>
      </c>
      <c r="K10" s="4" t="s">
        <v>28</v>
      </c>
      <c r="L10" s="2">
        <v>3.5</v>
      </c>
    </row>
    <row r="11" spans="1:12" x14ac:dyDescent="0.3">
      <c r="D11" s="4" t="s">
        <v>29</v>
      </c>
      <c r="E11" s="2">
        <v>13</v>
      </c>
      <c r="G11" s="4" t="s">
        <v>29</v>
      </c>
      <c r="H11" s="2">
        <v>40.92307692307692</v>
      </c>
      <c r="K11" s="4" t="s">
        <v>29</v>
      </c>
      <c r="L11" s="2">
        <v>4.5</v>
      </c>
    </row>
    <row r="12" spans="1:12" x14ac:dyDescent="0.3">
      <c r="A12" t="s">
        <v>1</v>
      </c>
      <c r="D12" s="4" t="s">
        <v>30</v>
      </c>
      <c r="E12" s="2">
        <v>22</v>
      </c>
      <c r="G12" s="4" t="s">
        <v>30</v>
      </c>
      <c r="H12" s="2">
        <v>34.5</v>
      </c>
      <c r="K12" s="4" t="s">
        <v>30</v>
      </c>
      <c r="L12" s="2">
        <v>4.8</v>
      </c>
    </row>
    <row r="13" spans="1:12" x14ac:dyDescent="0.3">
      <c r="A13" s="2">
        <v>36.323586744639378</v>
      </c>
      <c r="D13" s="4" t="s">
        <v>31</v>
      </c>
      <c r="E13" s="2">
        <v>19</v>
      </c>
      <c r="G13" s="4" t="s">
        <v>31</v>
      </c>
      <c r="H13" s="2">
        <v>30.684210526315791</v>
      </c>
      <c r="K13" s="4" t="s">
        <v>31</v>
      </c>
      <c r="L13" s="2">
        <v>7.75</v>
      </c>
    </row>
    <row r="14" spans="1:12" x14ac:dyDescent="0.3">
      <c r="D14" s="4" t="s">
        <v>32</v>
      </c>
      <c r="E14" s="2">
        <v>15</v>
      </c>
      <c r="G14" s="4" t="s">
        <v>32</v>
      </c>
      <c r="H14" s="2">
        <v>37.666666666666664</v>
      </c>
      <c r="K14" s="4" t="s">
        <v>32</v>
      </c>
      <c r="L14" s="2">
        <v>6.2</v>
      </c>
    </row>
    <row r="15" spans="1:12" x14ac:dyDescent="0.3">
      <c r="D15" s="4" t="s">
        <v>33</v>
      </c>
      <c r="E15" s="2">
        <v>12</v>
      </c>
      <c r="G15" s="4" t="s">
        <v>33</v>
      </c>
      <c r="H15" s="2">
        <v>36.083333333333336</v>
      </c>
      <c r="K15" s="4" t="s">
        <v>33</v>
      </c>
      <c r="L15" s="2">
        <v>3.75</v>
      </c>
    </row>
    <row r="16" spans="1:12" x14ac:dyDescent="0.3">
      <c r="D16" s="4" t="s">
        <v>34</v>
      </c>
      <c r="E16" s="2">
        <v>21</v>
      </c>
      <c r="G16" s="4" t="s">
        <v>34</v>
      </c>
      <c r="H16" s="2">
        <v>43.523809523809526</v>
      </c>
      <c r="K16" s="4" t="s">
        <v>34</v>
      </c>
      <c r="L16" s="2">
        <v>6.5</v>
      </c>
    </row>
    <row r="17" spans="1:12" x14ac:dyDescent="0.3">
      <c r="A17" t="s">
        <v>3</v>
      </c>
      <c r="D17" s="4" t="s">
        <v>35</v>
      </c>
      <c r="E17" s="2">
        <v>12</v>
      </c>
      <c r="G17" s="4" t="s">
        <v>35</v>
      </c>
      <c r="H17" s="2">
        <v>29.5</v>
      </c>
      <c r="K17" s="4" t="s">
        <v>35</v>
      </c>
      <c r="L17" s="2">
        <v>3</v>
      </c>
    </row>
    <row r="18" spans="1:12" x14ac:dyDescent="0.3">
      <c r="A18" s="2">
        <v>4.9591836734693882</v>
      </c>
      <c r="D18" s="4" t="s">
        <v>36</v>
      </c>
      <c r="E18" s="2">
        <v>13</v>
      </c>
      <c r="G18" s="4" t="s">
        <v>36</v>
      </c>
      <c r="H18" s="2">
        <v>38.07692307692308</v>
      </c>
      <c r="K18" s="4" t="s">
        <v>36</v>
      </c>
      <c r="L18" s="2">
        <v>4.5</v>
      </c>
    </row>
    <row r="19" spans="1:12" x14ac:dyDescent="0.3">
      <c r="D19" s="4" t="s">
        <v>37</v>
      </c>
      <c r="E19" s="2">
        <v>13</v>
      </c>
      <c r="G19" s="4" t="s">
        <v>37</v>
      </c>
      <c r="H19" s="2">
        <v>35.846153846153847</v>
      </c>
      <c r="K19" s="4" t="s">
        <v>37</v>
      </c>
      <c r="L19" s="2">
        <v>6</v>
      </c>
    </row>
    <row r="20" spans="1:12" x14ac:dyDescent="0.3">
      <c r="D20" s="4" t="s">
        <v>38</v>
      </c>
      <c r="E20" s="2">
        <v>16</v>
      </c>
      <c r="G20" s="4" t="s">
        <v>38</v>
      </c>
      <c r="H20" s="2">
        <v>32.625</v>
      </c>
      <c r="K20" s="4" t="s">
        <v>38</v>
      </c>
      <c r="L20" s="2">
        <v>5.2</v>
      </c>
    </row>
    <row r="21" spans="1:12" x14ac:dyDescent="0.3">
      <c r="D21" s="4" t="s">
        <v>39</v>
      </c>
      <c r="E21" s="2">
        <v>20</v>
      </c>
      <c r="G21" s="4" t="s">
        <v>39</v>
      </c>
      <c r="H21" s="2">
        <v>39.200000000000003</v>
      </c>
      <c r="K21" s="4" t="s">
        <v>39</v>
      </c>
      <c r="L21" s="2">
        <v>4.4000000000000004</v>
      </c>
    </row>
    <row r="22" spans="1:12" x14ac:dyDescent="0.3">
      <c r="D22" s="4" t="s">
        <v>40</v>
      </c>
      <c r="E22" s="2">
        <v>25</v>
      </c>
      <c r="G22" s="4" t="s">
        <v>40</v>
      </c>
      <c r="H22" s="2">
        <v>35.28</v>
      </c>
      <c r="K22" s="4" t="s">
        <v>40</v>
      </c>
      <c r="L22" s="2">
        <v>3.4545454545454546</v>
      </c>
    </row>
    <row r="23" spans="1:12" x14ac:dyDescent="0.3">
      <c r="D23" s="4" t="s">
        <v>41</v>
      </c>
      <c r="E23" s="2">
        <v>20</v>
      </c>
      <c r="G23" s="4" t="s">
        <v>41</v>
      </c>
      <c r="H23" s="2">
        <v>32.549999999999997</v>
      </c>
      <c r="K23" s="4" t="s">
        <v>41</v>
      </c>
      <c r="L23" s="2">
        <v>4.4000000000000004</v>
      </c>
    </row>
    <row r="24" spans="1:12" x14ac:dyDescent="0.3">
      <c r="A24" s="3" t="s">
        <v>4</v>
      </c>
      <c r="B24" t="s">
        <v>11</v>
      </c>
      <c r="C24" t="s">
        <v>14</v>
      </c>
      <c r="D24" s="4" t="s">
        <v>42</v>
      </c>
      <c r="E24" s="2">
        <v>14</v>
      </c>
      <c r="G24" s="4" t="s">
        <v>42</v>
      </c>
      <c r="H24" s="2">
        <v>35.642857142857146</v>
      </c>
      <c r="K24" s="4" t="s">
        <v>42</v>
      </c>
      <c r="L24" s="2">
        <v>5.833333333333333</v>
      </c>
    </row>
    <row r="25" spans="1:12" x14ac:dyDescent="0.3">
      <c r="A25" s="4" t="s">
        <v>12</v>
      </c>
      <c r="B25" s="2">
        <v>269</v>
      </c>
      <c r="C25" s="9">
        <v>0.52436647173489281</v>
      </c>
      <c r="D25" s="4" t="s">
        <v>43</v>
      </c>
      <c r="E25" s="2">
        <v>17</v>
      </c>
      <c r="G25" s="4" t="s">
        <v>43</v>
      </c>
      <c r="H25" s="2">
        <v>38.764705882352942</v>
      </c>
      <c r="K25" s="4" t="s">
        <v>43</v>
      </c>
      <c r="L25" s="2">
        <v>4.4444444444444446</v>
      </c>
    </row>
    <row r="26" spans="1:12" x14ac:dyDescent="0.3">
      <c r="A26" s="4" t="s">
        <v>13</v>
      </c>
      <c r="B26" s="2">
        <v>244</v>
      </c>
      <c r="C26" s="9">
        <v>0.47563352826510719</v>
      </c>
      <c r="D26" s="4" t="s">
        <v>44</v>
      </c>
      <c r="E26" s="2">
        <v>20</v>
      </c>
      <c r="G26" s="4" t="s">
        <v>44</v>
      </c>
      <c r="H26" s="2">
        <v>39.9</v>
      </c>
      <c r="K26" s="4" t="s">
        <v>44</v>
      </c>
      <c r="L26" s="2">
        <v>5.333333333333333</v>
      </c>
    </row>
    <row r="27" spans="1:12" x14ac:dyDescent="0.3">
      <c r="A27" s="4" t="s">
        <v>5</v>
      </c>
      <c r="B27" s="2">
        <v>513</v>
      </c>
      <c r="C27" s="9">
        <v>1</v>
      </c>
      <c r="D27" s="4" t="s">
        <v>45</v>
      </c>
      <c r="E27" s="2">
        <v>10</v>
      </c>
      <c r="G27" s="4" t="s">
        <v>45</v>
      </c>
      <c r="H27" s="2">
        <v>41.6</v>
      </c>
      <c r="K27" s="4" t="s">
        <v>45</v>
      </c>
      <c r="L27" s="2">
        <v>5.333333333333333</v>
      </c>
    </row>
    <row r="28" spans="1:12" x14ac:dyDescent="0.3">
      <c r="D28" s="4" t="s">
        <v>46</v>
      </c>
      <c r="E28" s="2">
        <v>17</v>
      </c>
      <c r="G28" s="4" t="s">
        <v>46</v>
      </c>
      <c r="H28" s="2">
        <v>39.470588235294116</v>
      </c>
      <c r="K28" s="4" t="s">
        <v>46</v>
      </c>
      <c r="L28" s="2">
        <v>5.5714285714285712</v>
      </c>
    </row>
    <row r="29" spans="1:12" x14ac:dyDescent="0.3">
      <c r="D29" s="4" t="s">
        <v>47</v>
      </c>
      <c r="E29" s="2">
        <v>15</v>
      </c>
      <c r="G29" s="4" t="s">
        <v>47</v>
      </c>
      <c r="H29" s="2">
        <v>27.733333333333334</v>
      </c>
      <c r="K29" s="4" t="s">
        <v>47</v>
      </c>
      <c r="L29" s="2">
        <v>5</v>
      </c>
    </row>
    <row r="30" spans="1:12" x14ac:dyDescent="0.3">
      <c r="D30" s="4" t="s">
        <v>48</v>
      </c>
      <c r="E30" s="2">
        <v>16</v>
      </c>
      <c r="G30" s="4" t="s">
        <v>48</v>
      </c>
      <c r="H30" s="2">
        <v>36.875</v>
      </c>
      <c r="K30" s="4" t="s">
        <v>48</v>
      </c>
      <c r="L30" s="2">
        <v>6.4</v>
      </c>
    </row>
    <row r="31" spans="1:12" x14ac:dyDescent="0.3">
      <c r="D31" s="4" t="s">
        <v>49</v>
      </c>
      <c r="E31" s="2">
        <v>18</v>
      </c>
      <c r="G31" s="4" t="s">
        <v>49</v>
      </c>
      <c r="H31" s="2">
        <v>40.333333333333336</v>
      </c>
      <c r="K31" s="4" t="s">
        <v>49</v>
      </c>
      <c r="L31" s="2">
        <v>5.333333333333333</v>
      </c>
    </row>
    <row r="32" spans="1:12" x14ac:dyDescent="0.3">
      <c r="D32" s="4" t="s">
        <v>50</v>
      </c>
      <c r="E32" s="2">
        <v>16</v>
      </c>
      <c r="G32" s="4" t="s">
        <v>50</v>
      </c>
      <c r="H32" s="2">
        <v>36.5</v>
      </c>
      <c r="K32" s="4" t="s">
        <v>50</v>
      </c>
      <c r="L32" s="2">
        <v>3.75</v>
      </c>
    </row>
    <row r="33" spans="1:12" x14ac:dyDescent="0.3">
      <c r="D33" s="4" t="s">
        <v>51</v>
      </c>
      <c r="E33" s="2">
        <v>15</v>
      </c>
      <c r="G33" s="4" t="s">
        <v>51</v>
      </c>
      <c r="H33" s="2">
        <v>32.866666666666667</v>
      </c>
      <c r="K33" s="4" t="s">
        <v>51</v>
      </c>
      <c r="L33" s="2">
        <v>6.333333333333333</v>
      </c>
    </row>
    <row r="34" spans="1:12" x14ac:dyDescent="0.3">
      <c r="D34" s="4" t="s">
        <v>52</v>
      </c>
      <c r="E34" s="2">
        <v>14</v>
      </c>
      <c r="G34" s="4" t="s">
        <v>52</v>
      </c>
      <c r="H34" s="2">
        <v>36.642857142857146</v>
      </c>
      <c r="K34" s="4" t="s">
        <v>52</v>
      </c>
      <c r="L34" s="2">
        <v>10</v>
      </c>
    </row>
    <row r="35" spans="1:12" x14ac:dyDescent="0.3">
      <c r="D35" s="4" t="s">
        <v>53</v>
      </c>
      <c r="E35" s="2">
        <v>16</v>
      </c>
      <c r="G35" s="4" t="s">
        <v>53</v>
      </c>
      <c r="H35" s="2">
        <v>36.5625</v>
      </c>
      <c r="K35" s="4" t="s">
        <v>53</v>
      </c>
      <c r="L35" s="2">
        <v>5</v>
      </c>
    </row>
    <row r="36" spans="1:12" x14ac:dyDescent="0.3">
      <c r="D36" s="4" t="s">
        <v>54</v>
      </c>
      <c r="E36" s="2">
        <v>20</v>
      </c>
      <c r="G36" s="4" t="s">
        <v>54</v>
      </c>
      <c r="H36" s="2">
        <v>32.15</v>
      </c>
      <c r="K36" s="4" t="s">
        <v>54</v>
      </c>
      <c r="L36" s="2">
        <v>5.333333333333333</v>
      </c>
    </row>
    <row r="37" spans="1:12" x14ac:dyDescent="0.3">
      <c r="D37" s="4" t="s">
        <v>55</v>
      </c>
      <c r="E37" s="2">
        <v>19</v>
      </c>
      <c r="G37" s="4" t="s">
        <v>55</v>
      </c>
      <c r="H37" s="2">
        <v>38.368421052631582</v>
      </c>
      <c r="K37" s="4" t="s">
        <v>55</v>
      </c>
      <c r="L37" s="2">
        <v>4.8</v>
      </c>
    </row>
    <row r="38" spans="1:12" x14ac:dyDescent="0.3">
      <c r="D38" s="4" t="s">
        <v>56</v>
      </c>
      <c r="E38" s="2">
        <v>14</v>
      </c>
      <c r="G38" s="4" t="s">
        <v>56</v>
      </c>
      <c r="H38" s="2">
        <v>33.071428571428569</v>
      </c>
      <c r="K38" s="4" t="s">
        <v>56</v>
      </c>
      <c r="L38" s="2">
        <v>5</v>
      </c>
    </row>
    <row r="39" spans="1:12" x14ac:dyDescent="0.3">
      <c r="D39" s="4" t="s">
        <v>57</v>
      </c>
      <c r="E39" s="2">
        <v>18</v>
      </c>
      <c r="G39" s="4" t="s">
        <v>57</v>
      </c>
      <c r="H39" s="2">
        <v>36.444444444444443</v>
      </c>
      <c r="K39" s="4" t="s">
        <v>57</v>
      </c>
      <c r="L39" s="2">
        <v>1.4</v>
      </c>
    </row>
    <row r="40" spans="1:12" x14ac:dyDescent="0.3">
      <c r="D40" s="4" t="s">
        <v>5</v>
      </c>
      <c r="E40" s="2">
        <v>513</v>
      </c>
      <c r="G40" s="4" t="s">
        <v>5</v>
      </c>
      <c r="H40" s="2">
        <v>36.323586744639378</v>
      </c>
      <c r="K40" s="4" t="s">
        <v>5</v>
      </c>
      <c r="L40" s="2">
        <v>4.9591836734693882</v>
      </c>
    </row>
    <row r="43" spans="1:12" x14ac:dyDescent="0.3">
      <c r="B43" s="12" t="s">
        <v>15</v>
      </c>
      <c r="C43" s="12" t="s">
        <v>17</v>
      </c>
      <c r="D43" s="12" t="s">
        <v>16</v>
      </c>
      <c r="E43" s="8"/>
      <c r="F43" s="8"/>
    </row>
    <row r="44" spans="1:12" x14ac:dyDescent="0.3">
      <c r="B44" s="10" t="str">
        <f>A26</f>
        <v>Not Admitted</v>
      </c>
      <c r="C44" s="10">
        <f t="shared" ref="C44:D44" si="0">B26</f>
        <v>244</v>
      </c>
      <c r="D44" s="11">
        <f t="shared" si="0"/>
        <v>0.47563352826510719</v>
      </c>
      <c r="E44" s="10"/>
      <c r="F44" s="10"/>
    </row>
    <row r="45" spans="1:12" x14ac:dyDescent="0.3">
      <c r="B45" s="10" t="str">
        <f>A25</f>
        <v>Admitted</v>
      </c>
      <c r="C45" s="10">
        <f t="shared" ref="C45:D45" si="1">B25</f>
        <v>269</v>
      </c>
      <c r="D45" s="11">
        <f t="shared" si="1"/>
        <v>0.52436647173489281</v>
      </c>
      <c r="E45" s="10"/>
      <c r="F45" s="10"/>
    </row>
    <row r="48" spans="1:12" x14ac:dyDescent="0.3">
      <c r="A48" t="s">
        <v>58</v>
      </c>
    </row>
    <row r="49" spans="1:2" x14ac:dyDescent="0.3">
      <c r="A49" s="3" t="s">
        <v>4</v>
      </c>
      <c r="B49" t="s">
        <v>26</v>
      </c>
    </row>
    <row r="50" spans="1:2" x14ac:dyDescent="0.3">
      <c r="A50" s="4" t="s">
        <v>18</v>
      </c>
      <c r="B50" s="13">
        <v>76</v>
      </c>
    </row>
    <row r="51" spans="1:2" x14ac:dyDescent="0.3">
      <c r="A51" s="4" t="s">
        <v>19</v>
      </c>
      <c r="B51" s="13">
        <v>69</v>
      </c>
    </row>
    <row r="52" spans="1:2" x14ac:dyDescent="0.3">
      <c r="A52" s="4" t="s">
        <v>20</v>
      </c>
      <c r="B52" s="13">
        <v>64</v>
      </c>
    </row>
    <row r="53" spans="1:2" x14ac:dyDescent="0.3">
      <c r="A53" s="4" t="s">
        <v>21</v>
      </c>
      <c r="B53" s="13">
        <v>59</v>
      </c>
    </row>
    <row r="54" spans="1:2" x14ac:dyDescent="0.3">
      <c r="A54" s="4" t="s">
        <v>22</v>
      </c>
      <c r="B54" s="13">
        <v>58</v>
      </c>
    </row>
    <row r="55" spans="1:2" x14ac:dyDescent="0.3">
      <c r="A55" s="4" t="s">
        <v>23</v>
      </c>
      <c r="B55" s="13">
        <v>66</v>
      </c>
    </row>
    <row r="56" spans="1:2" x14ac:dyDescent="0.3">
      <c r="A56" s="4" t="s">
        <v>24</v>
      </c>
      <c r="B56" s="13">
        <v>67</v>
      </c>
    </row>
    <row r="57" spans="1:2" x14ac:dyDescent="0.3">
      <c r="A57" s="4" t="s">
        <v>25</v>
      </c>
      <c r="B57" s="13">
        <v>54</v>
      </c>
    </row>
    <row r="58" spans="1:2" x14ac:dyDescent="0.3">
      <c r="A58" s="4" t="s">
        <v>5</v>
      </c>
      <c r="B58" s="2">
        <v>513</v>
      </c>
    </row>
    <row r="63" spans="1:2" x14ac:dyDescent="0.3">
      <c r="A63" s="3" t="s">
        <v>4</v>
      </c>
      <c r="B63" t="s">
        <v>61</v>
      </c>
    </row>
    <row r="64" spans="1:2" x14ac:dyDescent="0.3">
      <c r="A64" s="4" t="s">
        <v>59</v>
      </c>
      <c r="B64" s="13">
        <v>316</v>
      </c>
    </row>
    <row r="65" spans="1:2" x14ac:dyDescent="0.3">
      <c r="A65" s="4" t="s">
        <v>60</v>
      </c>
      <c r="B65" s="13">
        <v>197</v>
      </c>
    </row>
    <row r="66" spans="1:2" x14ac:dyDescent="0.3">
      <c r="A66" s="4" t="s">
        <v>5</v>
      </c>
      <c r="B66" s="2">
        <v>513</v>
      </c>
    </row>
    <row r="70" spans="1:2" x14ac:dyDescent="0.3">
      <c r="A70" s="3" t="s">
        <v>4</v>
      </c>
      <c r="B70" t="s">
        <v>64</v>
      </c>
    </row>
    <row r="71" spans="1:2" x14ac:dyDescent="0.3">
      <c r="A71" s="4" t="s">
        <v>62</v>
      </c>
      <c r="B71" s="13">
        <v>241</v>
      </c>
    </row>
    <row r="72" spans="1:2" x14ac:dyDescent="0.3">
      <c r="A72" s="4" t="s">
        <v>63</v>
      </c>
      <c r="B72" s="13">
        <v>272</v>
      </c>
    </row>
    <row r="73" spans="1:2" x14ac:dyDescent="0.3">
      <c r="A73" s="4" t="s">
        <v>5</v>
      </c>
      <c r="B73" s="2">
        <v>513</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A8074-43E3-419B-9BAF-255843DE788B}">
  <dimension ref="A1"/>
  <sheetViews>
    <sheetView tabSelected="1" zoomScale="146" workbookViewId="0"/>
  </sheetViews>
  <sheetFormatPr defaultRowHeight="14.4" x14ac:dyDescent="0.3"/>
  <cols>
    <col min="1" max="16384" width="8.88671875" style="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42A93-CF5D-448E-BB28-824FE1EE3A47}">
  <dimension ref="E23:O23"/>
  <sheetViews>
    <sheetView workbookViewId="0"/>
  </sheetViews>
  <sheetFormatPr defaultRowHeight="14.4" x14ac:dyDescent="0.3"/>
  <cols>
    <col min="1" max="16384" width="8.88671875" style="6"/>
  </cols>
  <sheetData>
    <row r="23" spans="5:15" ht="15.6" x14ac:dyDescent="0.3">
      <c r="E23" s="7" t="s">
        <v>9</v>
      </c>
      <c r="F23" s="7"/>
      <c r="G23" s="7"/>
      <c r="H23" s="7"/>
      <c r="I23" s="7"/>
      <c r="J23" s="7"/>
      <c r="K23" s="7"/>
      <c r="L23" s="7"/>
      <c r="M23" s="7"/>
      <c r="N23" s="7"/>
      <c r="O23"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4EECD-BDA0-4226-BAD1-E7B7E2A42F3A}">
  <dimension ref="B15"/>
  <sheetViews>
    <sheetView zoomScale="133" workbookViewId="0"/>
  </sheetViews>
  <sheetFormatPr defaultRowHeight="14.4" x14ac:dyDescent="0.3"/>
  <cols>
    <col min="1" max="16384" width="8.88671875" style="5"/>
  </cols>
  <sheetData>
    <row r="15" spans="2:2" x14ac:dyDescent="0.3">
      <c r="B15" s="5" t="s">
        <v>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41379-20A5-43A1-A345-4E1A0386434C}">
  <dimension ref="C24"/>
  <sheetViews>
    <sheetView workbookViewId="0"/>
  </sheetViews>
  <sheetFormatPr defaultRowHeight="14.4" x14ac:dyDescent="0.3"/>
  <cols>
    <col min="1" max="16384" width="8.88671875" style="8"/>
  </cols>
  <sheetData>
    <row r="24" spans="3:3" x14ac:dyDescent="0.3">
      <c r="C24" s="8" t="s">
        <v>10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Props1.xml><?xml version="1.0" encoding="utf-8"?>
<ds:datastoreItem xmlns:ds="http://schemas.openxmlformats.org/officeDocument/2006/customXml" ds:itemID="{0A5A7B38-2E3B-4104-86F5-81953E540393}">
  <ds:schemaRefs/>
</ds:datastoreItem>
</file>

<file path=customXml/itemProps2.xml><?xml version="1.0" encoding="utf-8"?>
<ds:datastoreItem xmlns:ds="http://schemas.openxmlformats.org/officeDocument/2006/customXml" ds:itemID="{AF6DB000-7D09-4E62-AAE8-CE05E219506E}">
  <ds:schemaRefs/>
</ds:datastoreItem>
</file>

<file path=customXml/itemProps3.xml><?xml version="1.0" encoding="utf-8"?>
<ds:datastoreItem xmlns:ds="http://schemas.openxmlformats.org/officeDocument/2006/customXml" ds:itemID="{3AA2761F-DE1A-4A56-AE1A-B6B845A7F91C}">
  <ds:schemaRefs/>
</ds:datastoreItem>
</file>

<file path=customXml/itemProps4.xml><?xml version="1.0" encoding="utf-8"?>
<ds:datastoreItem xmlns:ds="http://schemas.openxmlformats.org/officeDocument/2006/customXml" ds:itemID="{71EE8C25-6BC8-4DC9-AE68-521382C692BF}">
  <ds:schemaRefs/>
</ds:datastoreItem>
</file>

<file path=customXml/itemProps5.xml><?xml version="1.0" encoding="utf-8"?>
<ds:datastoreItem xmlns:ds="http://schemas.openxmlformats.org/officeDocument/2006/customXml" ds:itemID="{F703F382-3C0F-4DB3-B8E3-9FBFF0CF9EF4}">
  <ds:schemaRefs/>
</ds:datastoreItem>
</file>

<file path=customXml/itemProps6.xml><?xml version="1.0" encoding="utf-8"?>
<ds:datastoreItem xmlns:ds="http://schemas.openxmlformats.org/officeDocument/2006/customXml" ds:itemID="{4C1FD280-5D1B-4ACE-83C1-7C84A8DBAB17}">
  <ds:schemaRefs/>
</ds:datastoreItem>
</file>

<file path=customXml/itemProps7.xml><?xml version="1.0" encoding="utf-8"?>
<ds:datastoreItem xmlns:ds="http://schemas.openxmlformats.org/officeDocument/2006/customXml" ds:itemID="{B64EFAD6-F078-4115-BD98-535A3B71E770}">
  <ds:schemaRefs/>
</ds:datastoreItem>
</file>

<file path=customXml/itemProps8.xml><?xml version="1.0" encoding="utf-8"?>
<ds:datastoreItem xmlns:ds="http://schemas.openxmlformats.org/officeDocument/2006/customXml" ds:itemID="{E2B610E1-B59C-48C5-8C0E-F2AC052083F8}">
  <ds:schemaRefs/>
</ds:datastoreItem>
</file>

<file path=customXml/itemProps9.xml><?xml version="1.0" encoding="utf-8"?>
<ds:datastoreItem xmlns:ds="http://schemas.openxmlformats.org/officeDocument/2006/customXml" ds:itemID="{C27068E2-592F-4F6F-9675-1E0572E373A2}">
  <ds:schemaRefs/>
</ds:datastoreItem>
</file>

<file path=customXml/itemProps10.xml><?xml version="1.0" encoding="utf-8"?>
<ds:datastoreItem xmlns:ds="http://schemas.openxmlformats.org/officeDocument/2006/customXml" ds:itemID="{18C207DF-9622-4617-836C-C927C5E57056}">
  <ds:schemaRefs/>
</ds:datastoreItem>
</file>

<file path=customXml/itemProps11.xml><?xml version="1.0" encoding="utf-8"?>
<ds:datastoreItem xmlns:ds="http://schemas.openxmlformats.org/officeDocument/2006/customXml" ds:itemID="{076502D7-5562-44F1-B56E-D980CA52917F}">
  <ds:schemaRefs/>
</ds:datastoreItem>
</file>

<file path=customXml/itemProps12.xml><?xml version="1.0" encoding="utf-8"?>
<ds:datastoreItem xmlns:ds="http://schemas.openxmlformats.org/officeDocument/2006/customXml" ds:itemID="{62690280-DE72-4A8F-9808-733519852847}">
  <ds:schemaRefs/>
</ds:datastoreItem>
</file>

<file path=customXml/itemProps13.xml><?xml version="1.0" encoding="utf-8"?>
<ds:datastoreItem xmlns:ds="http://schemas.openxmlformats.org/officeDocument/2006/customXml" ds:itemID="{1FFD4456-A827-48D2-A1EC-EF4876A7154E}">
  <ds:schemaRefs/>
</ds:datastoreItem>
</file>

<file path=customXml/itemProps14.xml><?xml version="1.0" encoding="utf-8"?>
<ds:datastoreItem xmlns:ds="http://schemas.openxmlformats.org/officeDocument/2006/customXml" ds:itemID="{0E99FAA7-4C60-4F21-9C58-B78BE5F46424}">
  <ds:schemaRefs/>
</ds:datastoreItem>
</file>

<file path=customXml/itemProps15.xml><?xml version="1.0" encoding="utf-8"?>
<ds:datastoreItem xmlns:ds="http://schemas.openxmlformats.org/officeDocument/2006/customXml" ds:itemID="{0AFD3329-E76C-40C5-8C1B-2E4A2025AA13}">
  <ds:schemaRefs/>
</ds:datastoreItem>
</file>

<file path=customXml/itemProps16.xml><?xml version="1.0" encoding="utf-8"?>
<ds:datastoreItem xmlns:ds="http://schemas.openxmlformats.org/officeDocument/2006/customXml" ds:itemID="{44737DF6-4052-41C8-8F27-FF30FCD4F6C7}">
  <ds:schemaRefs/>
</ds:datastoreItem>
</file>

<file path=customXml/itemProps17.xml><?xml version="1.0" encoding="utf-8"?>
<ds:datastoreItem xmlns:ds="http://schemas.openxmlformats.org/officeDocument/2006/customXml" ds:itemID="{85959410-59E6-4968-A2C4-DFB8FAC97E45}">
  <ds:schemaRefs/>
</ds:datastoreItem>
</file>

<file path=customXml/itemProps18.xml><?xml version="1.0" encoding="utf-8"?>
<ds:datastoreItem xmlns:ds="http://schemas.openxmlformats.org/officeDocument/2006/customXml" ds:itemID="{D4DF2373-3F44-4F41-907F-21950C3D68B9}">
  <ds:schemaRefs/>
</ds:datastoreItem>
</file>

<file path=customXml/itemProps19.xml><?xml version="1.0" encoding="utf-8"?>
<ds:datastoreItem xmlns:ds="http://schemas.openxmlformats.org/officeDocument/2006/customXml" ds:itemID="{CC9D7F25-240E-47C1-8F76-128C84AB7CAC}">
  <ds:schemaRefs/>
</ds:datastoreItem>
</file>

<file path=customXml/itemProps20.xml><?xml version="1.0" encoding="utf-8"?>
<ds:datastoreItem xmlns:ds="http://schemas.openxmlformats.org/officeDocument/2006/customXml" ds:itemID="{ECF2E7A1-B174-47E7-9898-70974BB3B774}">
  <ds:schemaRefs/>
</ds:datastoreItem>
</file>

<file path=customXml/itemProps21.xml><?xml version="1.0" encoding="utf-8"?>
<ds:datastoreItem xmlns:ds="http://schemas.openxmlformats.org/officeDocument/2006/customXml" ds:itemID="{A2E5914E-338F-45CD-BA95-AAA99046FF53}">
  <ds:schemaRefs/>
</ds:datastoreItem>
</file>

<file path=customXml/itemProps22.xml><?xml version="1.0" encoding="utf-8"?>
<ds:datastoreItem xmlns:ds="http://schemas.openxmlformats.org/officeDocument/2006/customXml" ds:itemID="{5167359A-9214-4C30-BE4D-CD1D2562BF48}">
  <ds:schemaRefs/>
</ds:datastoreItem>
</file>

<file path=customXml/itemProps23.xml><?xml version="1.0" encoding="utf-8"?>
<ds:datastoreItem xmlns:ds="http://schemas.openxmlformats.org/officeDocument/2006/customXml" ds:itemID="{D65379EF-1FEF-4038-9831-026C999A4F01}">
  <ds:schemaRefs/>
</ds:datastoreItem>
</file>

<file path=customXml/itemProps24.xml><?xml version="1.0" encoding="utf-8"?>
<ds:datastoreItem xmlns:ds="http://schemas.openxmlformats.org/officeDocument/2006/customXml" ds:itemID="{77A2B792-28E6-47B1-8A2E-A78B3BD01DFB}">
  <ds:schemaRefs/>
</ds:datastoreItem>
</file>

<file path=customXml/itemProps25.xml><?xml version="1.0" encoding="utf-8"?>
<ds:datastoreItem xmlns:ds="http://schemas.openxmlformats.org/officeDocument/2006/customXml" ds:itemID="{C0509611-EEED-4A7C-B139-0A98C6F52047}">
  <ds:schemaRefs/>
</ds:datastoreItem>
</file>

<file path=customXml/itemProps26.xml><?xml version="1.0" encoding="utf-8"?>
<ds:datastoreItem xmlns:ds="http://schemas.openxmlformats.org/officeDocument/2006/customXml" ds:itemID="{2F35EB41-2CEB-4A50-96E3-E1581E34961D}">
  <ds:schemaRefs/>
</ds:datastoreItem>
</file>

<file path=customXml/itemProps27.xml><?xml version="1.0" encoding="utf-8"?>
<ds:datastoreItem xmlns:ds="http://schemas.openxmlformats.org/officeDocument/2006/customXml" ds:itemID="{A82D8B62-625A-4451-BF9B-A95D4FE46624}">
  <ds:schemaRefs/>
</ds:datastoreItem>
</file>

<file path=customXml/itemProps28.xml><?xml version="1.0" encoding="utf-8"?>
<ds:datastoreItem xmlns:ds="http://schemas.openxmlformats.org/officeDocument/2006/customXml" ds:itemID="{0FBE2932-0F48-4057-8E29-E90DFB4381F7}">
  <ds:schemaRefs/>
</ds:datastoreItem>
</file>

<file path=customXml/itemProps29.xml><?xml version="1.0" encoding="utf-8"?>
<ds:datastoreItem xmlns:ds="http://schemas.openxmlformats.org/officeDocument/2006/customXml" ds:itemID="{98E2D84B-5128-419C-92CA-11D43612986D}">
  <ds:schemaRefs/>
</ds:datastoreItem>
</file>

<file path=customXml/itemProps30.xml><?xml version="1.0" encoding="utf-8"?>
<ds:datastoreItem xmlns:ds="http://schemas.openxmlformats.org/officeDocument/2006/customXml" ds:itemID="{1443116E-573C-4439-9C30-CF9F2E5C81EA}">
  <ds:schemaRefs/>
</ds:datastoreItem>
</file>

<file path=customXml/itemProps31.xml><?xml version="1.0" encoding="utf-8"?>
<ds:datastoreItem xmlns:ds="http://schemas.openxmlformats.org/officeDocument/2006/customXml" ds:itemID="{99363B4B-2D8C-4835-A538-4B894E2B04E7}">
  <ds:schemaRefs/>
</ds:datastoreItem>
</file>

<file path=customXml/itemProps32.xml><?xml version="1.0" encoding="utf-8"?>
<ds:datastoreItem xmlns:ds="http://schemas.openxmlformats.org/officeDocument/2006/customXml" ds:itemID="{84C410EB-27DD-467A-8D9F-71F004AF53A4}">
  <ds:schemaRefs/>
</ds:datastoreItem>
</file>

<file path=customXml/itemProps33.xml><?xml version="1.0" encoding="utf-8"?>
<ds:datastoreItem xmlns:ds="http://schemas.openxmlformats.org/officeDocument/2006/customXml" ds:itemID="{2CFD8AA4-6BB4-4CC7-A6BE-2F7A85DC8262}">
  <ds:schemaRefs/>
</ds:datastoreItem>
</file>

<file path=customXml/itemProps34.xml><?xml version="1.0" encoding="utf-8"?>
<ds:datastoreItem xmlns:ds="http://schemas.openxmlformats.org/officeDocument/2006/customXml" ds:itemID="{4AFCCFED-963D-43FA-AFB3-A1056ACBAAA4}">
  <ds:schemaRefs/>
</ds:datastoreItem>
</file>

<file path=customXml/itemProps35.xml><?xml version="1.0" encoding="utf-8"?>
<ds:datastoreItem xmlns:ds="http://schemas.openxmlformats.org/officeDocument/2006/customXml" ds:itemID="{DFA8C225-991D-4F6F-BE3B-3A3832BCDA87}">
  <ds:schemaRefs/>
</ds:datastoreItem>
</file>

<file path=customXml/itemProps36.xml><?xml version="1.0" encoding="utf-8"?>
<ds:datastoreItem xmlns:ds="http://schemas.openxmlformats.org/officeDocument/2006/customXml" ds:itemID="{2918472C-B9DF-4F4C-A130-EB0406502625}">
  <ds:schemaRefs/>
</ds:datastoreItem>
</file>

<file path=customXml/itemProps37.xml><?xml version="1.0" encoding="utf-8"?>
<ds:datastoreItem xmlns:ds="http://schemas.openxmlformats.org/officeDocument/2006/customXml" ds:itemID="{64AD9793-E65B-4A68-8FD7-1A065AC84460}">
  <ds:schemaRefs/>
</ds:datastoreItem>
</file>

<file path=customXml/itemProps38.xml><?xml version="1.0" encoding="utf-8"?>
<ds:datastoreItem xmlns:ds="http://schemas.openxmlformats.org/officeDocument/2006/customXml" ds:itemID="{B3005978-5E7F-4695-BEF3-03E5C8543686}">
  <ds:schemaRefs>
    <ds:schemaRef ds:uri="http://schemas.microsoft.com/DataMashup"/>
  </ds:schemaRefs>
</ds:datastoreItem>
</file>

<file path=customXml/itemProps39.xml><?xml version="1.0" encoding="utf-8"?>
<ds:datastoreItem xmlns:ds="http://schemas.openxmlformats.org/officeDocument/2006/customXml" ds:itemID="{71B8A8FD-471E-4B07-978E-2430D0D2332F}">
  <ds:schemaRefs/>
</ds:datastoreItem>
</file>

<file path=customXml/itemProps40.xml><?xml version="1.0" encoding="utf-8"?>
<ds:datastoreItem xmlns:ds="http://schemas.openxmlformats.org/officeDocument/2006/customXml" ds:itemID="{0A80D63B-BC10-4993-9975-966633FACD6C}">
  <ds:schemaRefs/>
</ds:datastoreItem>
</file>

<file path=customXml/itemProps41.xml><?xml version="1.0" encoding="utf-8"?>
<ds:datastoreItem xmlns:ds="http://schemas.openxmlformats.org/officeDocument/2006/customXml" ds:itemID="{7A964682-34E8-4621-BAF6-57E9B184AF29}">
  <ds:schemaRefs/>
</ds:datastoreItem>
</file>

<file path=customXml/itemProps42.xml><?xml version="1.0" encoding="utf-8"?>
<ds:datastoreItem xmlns:ds="http://schemas.openxmlformats.org/officeDocument/2006/customXml" ds:itemID="{19519C5D-0C33-4E28-BA02-D3D75AE176F4}">
  <ds:schemaRefs/>
</ds:datastoreItem>
</file>

<file path=customXml/itemProps43.xml><?xml version="1.0" encoding="utf-8"?>
<ds:datastoreItem xmlns:ds="http://schemas.openxmlformats.org/officeDocument/2006/customXml" ds:itemID="{A6847CAA-F044-425E-8727-1FCD1B87093C}">
  <ds:schemaRefs/>
</ds:datastoreItem>
</file>

<file path=customXml/itemProps44.xml><?xml version="1.0" encoding="utf-8"?>
<ds:datastoreItem xmlns:ds="http://schemas.openxmlformats.org/officeDocument/2006/customXml" ds:itemID="{EE886291-75C6-423B-8C5A-A92A9384C713}">
  <ds:schemaRefs/>
</ds:datastoreItem>
</file>

<file path=customXml/itemProps45.xml><?xml version="1.0" encoding="utf-8"?>
<ds:datastoreItem xmlns:ds="http://schemas.openxmlformats.org/officeDocument/2006/customXml" ds:itemID="{F3F2F23B-189E-437F-A62F-FC34177ACCCB}">
  <ds:schemaRefs/>
</ds:datastoreItem>
</file>

<file path=customXml/itemProps46.xml><?xml version="1.0" encoding="utf-8"?>
<ds:datastoreItem xmlns:ds="http://schemas.openxmlformats.org/officeDocument/2006/customXml" ds:itemID="{36B69104-9DD0-4D26-AC24-F5B95F9FC53D}">
  <ds:schemaRefs/>
</ds:datastoreItem>
</file>

<file path=customXml/itemProps47.xml><?xml version="1.0" encoding="utf-8"?>
<ds:datastoreItem xmlns:ds="http://schemas.openxmlformats.org/officeDocument/2006/customXml" ds:itemID="{6583D081-4329-4A28-8AF1-310A54002E10}">
  <ds:schemaRefs/>
</ds:datastoreItem>
</file>

<file path=customXml/itemProps48.xml><?xml version="1.0" encoding="utf-8"?>
<ds:datastoreItem xmlns:ds="http://schemas.openxmlformats.org/officeDocument/2006/customXml" ds:itemID="{EC08B82D-62E8-4BA2-B271-5870174B0C46}">
  <ds:schemaRefs/>
</ds:datastoreItem>
</file>

<file path=customXml/itemProps49.xml><?xml version="1.0" encoding="utf-8"?>
<ds:datastoreItem xmlns:ds="http://schemas.openxmlformats.org/officeDocument/2006/customXml" ds:itemID="{4702C394-74D1-456B-9CA3-126E8078ADB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Daily Wait Time </vt:lpstr>
      <vt:lpstr>Daily_ER_Number_Patients</vt:lpstr>
      <vt:lpstr>Average Patient 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Hiren Patel</dc:creator>
  <cp:lastModifiedBy>Hiren Patel</cp:lastModifiedBy>
  <dcterms:created xsi:type="dcterms:W3CDTF">2026-02-24T12:57:02Z</dcterms:created>
  <dcterms:modified xsi:type="dcterms:W3CDTF">2026-02-26T02:31:37Z</dcterms:modified>
</cp:coreProperties>
</file>